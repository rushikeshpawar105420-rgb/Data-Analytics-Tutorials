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0354C457-4A5F-41DA-90AE-0DAE09B1AD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  <c r="I4" i="1"/>
  <c r="J4" i="1"/>
  <c r="H4" i="1"/>
</calcChain>
</file>

<file path=xl/sharedStrings.xml><?xml version="1.0" encoding="utf-8"?>
<sst xmlns="http://schemas.openxmlformats.org/spreadsheetml/2006/main" count="1743" uniqueCount="271">
  <si>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</si>
  <si>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</si>
  <si>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</si>
  <si>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</si>
  <si>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</si>
  <si>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</si>
  <si>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</si>
  <si>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</si>
  <si>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</si>
  <si>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</si>
  <si>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</si>
  <si>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</si>
  <si>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</si>
  <si>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</si>
  <si>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</si>
  <si>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Month</t>
  </si>
  <si>
    <t>Year</t>
  </si>
  <si>
    <t>Reyansh</t>
  </si>
  <si>
    <t>Mehta</t>
  </si>
  <si>
    <t>Male</t>
  </si>
  <si>
    <t>Australia</t>
  </si>
  <si>
    <t>Tamil Nadu</t>
  </si>
  <si>
    <t>Chennai</t>
  </si>
  <si>
    <t>Engineering</t>
  </si>
  <si>
    <t>reyansh.mehta523@example.com</t>
  </si>
  <si>
    <t>March</t>
  </si>
  <si>
    <t>Krishna</t>
  </si>
  <si>
    <t>UP</t>
  </si>
  <si>
    <t>Hyderabad</t>
  </si>
  <si>
    <t>HR</t>
  </si>
  <si>
    <t>krishna.mehta1014@example.com</t>
  </si>
  <si>
    <t>April</t>
  </si>
  <si>
    <t>Ishaan</t>
  </si>
  <si>
    <t>Patel</t>
  </si>
  <si>
    <t>Maharashtra</t>
  </si>
  <si>
    <t>Bangalore</t>
  </si>
  <si>
    <t>Finance</t>
  </si>
  <si>
    <t>ishaan.patel1132@example.com</t>
  </si>
  <si>
    <t>July</t>
  </si>
  <si>
    <t>Arjun</t>
  </si>
  <si>
    <t>Das</t>
  </si>
  <si>
    <t>Female</t>
  </si>
  <si>
    <t>Karnataka</t>
  </si>
  <si>
    <t>arjun.das586@example.com</t>
  </si>
  <si>
    <t>Sai</t>
  </si>
  <si>
    <t>Sharma</t>
  </si>
  <si>
    <t>sai.sharma951@example.com</t>
  </si>
  <si>
    <t>August</t>
  </si>
  <si>
    <t>Aarav</t>
  </si>
  <si>
    <t>Nair</t>
  </si>
  <si>
    <t>Operations</t>
  </si>
  <si>
    <t>aarav.nair1487@example.com</t>
  </si>
  <si>
    <t>September</t>
  </si>
  <si>
    <t>Kabir</t>
  </si>
  <si>
    <t>Khan</t>
  </si>
  <si>
    <t>Delhii</t>
  </si>
  <si>
    <t>kabir.khan1198@example.com</t>
  </si>
  <si>
    <t>November</t>
  </si>
  <si>
    <t>aarav.sharma1523@example.com</t>
  </si>
  <si>
    <t>February</t>
  </si>
  <si>
    <t>Sales</t>
  </si>
  <si>
    <t>sai.das1883@example.com</t>
  </si>
  <si>
    <t>Marketing</t>
  </si>
  <si>
    <t>aarav.das470@example.com</t>
  </si>
  <si>
    <t>krishna.sharma887@example.com</t>
  </si>
  <si>
    <t>Reddy</t>
  </si>
  <si>
    <t>krishna.reddy20@example.com</t>
  </si>
  <si>
    <t>May</t>
  </si>
  <si>
    <t>Vihaan</t>
  </si>
  <si>
    <t>Lucknow</t>
  </si>
  <si>
    <t>vihaan.das1602@example.com</t>
  </si>
  <si>
    <t>kabir.patel730@example.com</t>
  </si>
  <si>
    <t>Gupta</t>
  </si>
  <si>
    <t>krishna.gupta867@example.com</t>
  </si>
  <si>
    <t>reyansh.das677@example.com</t>
  </si>
  <si>
    <t>October</t>
  </si>
  <si>
    <t>Delhiii</t>
  </si>
  <si>
    <t>vihaan.patel1961@example.com</t>
  </si>
  <si>
    <t>Mumbai</t>
  </si>
  <si>
    <t>sai.khan191@example.com</t>
  </si>
  <si>
    <t>arjun.sharma360@example.com</t>
  </si>
  <si>
    <t>Singh</t>
  </si>
  <si>
    <t>krishna.singh1812@example.com</t>
  </si>
  <si>
    <t>January</t>
  </si>
  <si>
    <t>krishna.mehta210@example.com</t>
  </si>
  <si>
    <t>Aditya</t>
  </si>
  <si>
    <t>aditya.nair620@example.com</t>
  </si>
  <si>
    <t>reyansh.nair142@example.com</t>
  </si>
  <si>
    <t>reyansh.mehta1355@example.com</t>
  </si>
  <si>
    <t>reyansh.khan1286@example.com</t>
  </si>
  <si>
    <t>June</t>
  </si>
  <si>
    <t>vihaan.singh1191@example.com</t>
  </si>
  <si>
    <t>Verma</t>
  </si>
  <si>
    <t>aditya.verma1968@example.com</t>
  </si>
  <si>
    <t>krishna.verma1856@example.com</t>
  </si>
  <si>
    <t>ishaan.verma1725@example.com</t>
  </si>
  <si>
    <t>vihaan.nair1359@example.com</t>
  </si>
  <si>
    <t>aditya.khan354@example.com</t>
  </si>
  <si>
    <t>vihaan.khan1928@example.com</t>
  </si>
  <si>
    <t>sai.sharma537@example.com</t>
  </si>
  <si>
    <t>December</t>
  </si>
  <si>
    <t>arjun.verma847@example.com</t>
  </si>
  <si>
    <t>vihaan.reddy425@example.com</t>
  </si>
  <si>
    <t>Vivaan</t>
  </si>
  <si>
    <t>vivaan.gupta29@example.com</t>
  </si>
  <si>
    <t>reyansh.mehta1679@example.com</t>
  </si>
  <si>
    <t>vivaan.patel890@example.com</t>
  </si>
  <si>
    <t>kabir.reddy1344@example.com</t>
  </si>
  <si>
    <t>Canada</t>
  </si>
  <si>
    <t>kabir.patel1896@example.com</t>
  </si>
  <si>
    <t>sai.sharma725@example.com</t>
  </si>
  <si>
    <t>reyansh.nair1710@example.com</t>
  </si>
  <si>
    <t>ishaan.sharma1738@example.com</t>
  </si>
  <si>
    <t>kabir.verma528@example.com</t>
  </si>
  <si>
    <t>reyansh.sharma841@example.com</t>
  </si>
  <si>
    <t>reyansh.gupta1671@example.com</t>
  </si>
  <si>
    <t>vihaan.verma54@example.com</t>
  </si>
  <si>
    <t>aditya.nair1862@example.com</t>
  </si>
  <si>
    <t>vihaan.patel994@example.com</t>
  </si>
  <si>
    <t>aditya.das487@example.com</t>
  </si>
  <si>
    <t>vihaan.gupta1104@example.com</t>
  </si>
  <si>
    <t>reyansh.verma1586@example.com</t>
  </si>
  <si>
    <t>kabir.khan1951@example.com</t>
  </si>
  <si>
    <t>ishaan.nair458@example.com</t>
  </si>
  <si>
    <t>vivaan.sharma1980@example.com</t>
  </si>
  <si>
    <t>arjun.das395@example.com</t>
  </si>
  <si>
    <t>kabir.singh1913@example.com</t>
  </si>
  <si>
    <t>krishna.nair814@example.com</t>
  </si>
  <si>
    <t>aarav.mehta1809@example.com</t>
  </si>
  <si>
    <t>sai.gupta1827@example.com</t>
  </si>
  <si>
    <t>vivaan.sharma1419@example.com</t>
  </si>
  <si>
    <t>arjun.das1485@example.com</t>
  </si>
  <si>
    <t>reyansh.gupta593@example.com</t>
  </si>
  <si>
    <t>ishaan.patel1291@example.com</t>
  </si>
  <si>
    <t>kabir.gupta996@example.com</t>
  </si>
  <si>
    <t>aditya.reddy174@example.com</t>
  </si>
  <si>
    <t>vivaan.mehta1706@example.com</t>
  </si>
  <si>
    <t>sai.gupta1257@example.com</t>
  </si>
  <si>
    <t>reyansh.das1516@example.com</t>
  </si>
  <si>
    <t>sai.gupta830@example.com</t>
  </si>
  <si>
    <t>vivaan.das1726@example.com</t>
  </si>
  <si>
    <t>reyansh.patel522@example.com</t>
  </si>
  <si>
    <t>aarav.mehta1068@example.com</t>
  </si>
  <si>
    <t>kabir.reddy97@example.com</t>
  </si>
  <si>
    <t>ishaan.sharma21@example.com</t>
  </si>
  <si>
    <t>reyansh.sharma1122@example.com</t>
  </si>
  <si>
    <t>vihaan.singh138@example.com</t>
  </si>
  <si>
    <t>India</t>
  </si>
  <si>
    <t>aarav.das421@example.com</t>
  </si>
  <si>
    <t>reyansh.gupta1001@example.com</t>
  </si>
  <si>
    <t>aditya.singh362@example.com</t>
  </si>
  <si>
    <t>krishna.singh1769@example.com</t>
  </si>
  <si>
    <t>reyansh.verma314@example.com</t>
  </si>
  <si>
    <t>reyansh.singh1680@example.com</t>
  </si>
  <si>
    <t>ishaan.verma1477@example.com</t>
  </si>
  <si>
    <t>vihaan.mehta852@example.com</t>
  </si>
  <si>
    <t>arjun.verma1969@example.com</t>
  </si>
  <si>
    <t>kabir.gupta1958@example.com</t>
  </si>
  <si>
    <t>ishaan.nair898@example.com</t>
  </si>
  <si>
    <t>krishna.mehta1090@example.com</t>
  </si>
  <si>
    <t>aarav.sharma245@example.com</t>
  </si>
  <si>
    <t>vivaan.singh685@example.com</t>
  </si>
  <si>
    <t>vivaan.khan833@example.com</t>
  </si>
  <si>
    <t>kabir.mehta995@example.com</t>
  </si>
  <si>
    <t>vihaan.nair970@example.com</t>
  </si>
  <si>
    <t>vihaan.reddy194@example.com</t>
  </si>
  <si>
    <t>kabir.verma320@example.com</t>
  </si>
  <si>
    <t>sai.patel1308@example.com</t>
  </si>
  <si>
    <t>sai.mehta549@example.com</t>
  </si>
  <si>
    <t>vihaan.khan1879@example.com</t>
  </si>
  <si>
    <t>kabir.mehta1253@example.com</t>
  </si>
  <si>
    <t>aditya.verma216@example.com</t>
  </si>
  <si>
    <t>vihaan.sharma441@example.com</t>
  </si>
  <si>
    <t>reyansh.khan190@example.com</t>
  </si>
  <si>
    <t>krishna.sharma1311@example.com</t>
  </si>
  <si>
    <t>sai.gupta146@example.com</t>
  </si>
  <si>
    <t>vivaan.verma606@example.com</t>
  </si>
  <si>
    <t>ishaan.mehta1573@example.com</t>
  </si>
  <si>
    <t>ishaan.reddy1857@example.com</t>
  </si>
  <si>
    <t>krishna.patel1181@example.com</t>
  </si>
  <si>
    <t>vivaan.patel1480@example.com</t>
  </si>
  <si>
    <t>arjun.sharma1095@example.com</t>
  </si>
  <si>
    <t>kabir.patel1521@example.com</t>
  </si>
  <si>
    <t>sai.das393@example.com</t>
  </si>
  <si>
    <t>vihaan.verma161@example.com</t>
  </si>
  <si>
    <t>ishaan.nair1743@example.com</t>
  </si>
  <si>
    <t>arjun.khan1571@example.com</t>
  </si>
  <si>
    <t>ishaan.reddy1562@example.com</t>
  </si>
  <si>
    <t>vivaan.khan933@example.com</t>
  </si>
  <si>
    <t>vivaan.sharma1@example.com</t>
  </si>
  <si>
    <t>aarav.reddy832@example.com</t>
  </si>
  <si>
    <t>kabir.reddy228@example.com</t>
  </si>
  <si>
    <t>UK</t>
  </si>
  <si>
    <t>ishaan.khan98@example.com</t>
  </si>
  <si>
    <t>aditya.gupta63@example.com</t>
  </si>
  <si>
    <t>kabir.singh498@example.com</t>
  </si>
  <si>
    <t>reyansh.khan277@example.com</t>
  </si>
  <si>
    <t>vivaan.singh1837@example.com</t>
  </si>
  <si>
    <t>krishna.sharma1395@example.com</t>
  </si>
  <si>
    <t>arjun.sharma1048@example.com</t>
  </si>
  <si>
    <t>kabir.sharma526@example.com</t>
  </si>
  <si>
    <t>vivaan.verma1029@example.com</t>
  </si>
  <si>
    <t>aarav.gupta1610@example.com</t>
  </si>
  <si>
    <t>aarav.khan1220@example.com</t>
  </si>
  <si>
    <t>vivaan.patel1998@example.com</t>
  </si>
  <si>
    <t>krishna.mehta363@example.com</t>
  </si>
  <si>
    <t>reyansh.gupta1360@example.com</t>
  </si>
  <si>
    <t>krishna.verma899@example.com</t>
  </si>
  <si>
    <t>aarav.das1514@example.com</t>
  </si>
  <si>
    <t>krishna.patel1195@example.com</t>
  </si>
  <si>
    <t>ishaan.mehta440@example.com</t>
  </si>
  <si>
    <t>aarav.mehta980@example.com</t>
  </si>
  <si>
    <t>sai.verma612@example.com</t>
  </si>
  <si>
    <t>aditya.reddy1705@example.com</t>
  </si>
  <si>
    <t>reyansh.mehta322@example.com</t>
  </si>
  <si>
    <t>aditya.mehta1956@example.com</t>
  </si>
  <si>
    <t>ishaan.patel1136@example.com</t>
  </si>
  <si>
    <t>arjun.sharma465@example.com</t>
  </si>
  <si>
    <t>sai.verma854@example.com</t>
  </si>
  <si>
    <t>aarav.khan1877@example.com</t>
  </si>
  <si>
    <t>krishna.mehta1781@example.com</t>
  </si>
  <si>
    <t>ishaan.khan1838@example.com</t>
  </si>
  <si>
    <t>krishna.singh252@example.com</t>
  </si>
  <si>
    <t>aditya.nair70@example.com</t>
  </si>
  <si>
    <t>krishna.verma1674@example.com</t>
  </si>
  <si>
    <t>aditya.gupta1237@example.com</t>
  </si>
  <si>
    <t>ishaan.sharma1765@example.com</t>
  </si>
  <si>
    <t>kabir.verma1000@example.com</t>
  </si>
  <si>
    <t>sai.gupta1280@example.com</t>
  </si>
  <si>
    <t>vivaan.nair1206@example.com</t>
  </si>
  <si>
    <t>USA</t>
  </si>
  <si>
    <t>sai.singh774@example.com</t>
  </si>
  <si>
    <t>kabir.reddy1946@example.com</t>
  </si>
  <si>
    <t>ishaan.patel184@example.com</t>
  </si>
  <si>
    <t>vihaan.nair714@example.com</t>
  </si>
  <si>
    <t>aditya.das889@example.com</t>
  </si>
  <si>
    <t>sai.das289@example.com</t>
  </si>
  <si>
    <t>aarav.nair39@example.com</t>
  </si>
  <si>
    <t>vihaan.singh765@example.com</t>
  </si>
  <si>
    <t>krishna.das1170@example.com</t>
  </si>
  <si>
    <t>sai.khan813@example.com</t>
  </si>
  <si>
    <t>kabir.verma140@example.com</t>
  </si>
  <si>
    <t>reyansh.verma36@example.com</t>
  </si>
  <si>
    <t>vivaan.patel771@example.com</t>
  </si>
  <si>
    <t>reyansh.das1307@example.com</t>
  </si>
  <si>
    <t>reyansh.verma845@example.com</t>
  </si>
  <si>
    <t>arjun.sharma790@example.com</t>
  </si>
  <si>
    <t>arjun.nair92@example.com</t>
  </si>
  <si>
    <t>vihaan.nair731@example.com</t>
  </si>
  <si>
    <t>aarav.das11@example.com</t>
  </si>
  <si>
    <t>krishna.singh126@example.com</t>
  </si>
  <si>
    <t>arjun.singh1169@example.com</t>
  </si>
  <si>
    <t>kabir.khan262@example.com</t>
  </si>
  <si>
    <t>aarav.das158@example.com</t>
  </si>
  <si>
    <t>kabir.mehta267@example.com</t>
  </si>
  <si>
    <t>aarav.verma963@example.com</t>
  </si>
  <si>
    <t>aditya.singh1039@example.com</t>
  </si>
  <si>
    <t>krishna.verma383@example.com</t>
  </si>
  <si>
    <t>aarav.singh1478@example.com</t>
  </si>
  <si>
    <t>vivaan.nair1452@example.com</t>
  </si>
  <si>
    <t>aarav.khan1821@example.com</t>
  </si>
  <si>
    <t>sai.reddy273@example.com</t>
  </si>
  <si>
    <t>vihaan.mehta874@example.com</t>
  </si>
  <si>
    <t>kabir.singh1589@example.com</t>
  </si>
  <si>
    <t>SUBTOTAL FUNCION</t>
  </si>
  <si>
    <t>AVERAGE</t>
  </si>
  <si>
    <t>COUNT</t>
  </si>
  <si>
    <t>COUNTA</t>
  </si>
  <si>
    <t>MAX</t>
  </si>
  <si>
    <t>MIN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</si>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</sst>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21252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5" borderId="1" xfId="0" applyFont="1" applyFill="1" applyBorder="1"/>
    <xf numFmtId="0" fontId="0" fillId="5" borderId="2" xfId="0" applyFont="1" applyFill="1" applyBorder="1"/>
    <xf numFmtId="0" fontId="0" fillId="5" borderId="3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14" fontId="2" fillId="4" borderId="5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0" fillId="5" borderId="4" xfId="0" applyFont="1" applyFill="1" applyBorder="1"/>
    <xf numFmtId="0" fontId="0" fillId="5" borderId="5" xfId="0" applyFont="1" applyFill="1" applyBorder="1"/>
    <xf numFmtId="14" fontId="0" fillId="5" borderId="5" xfId="0" applyNumberFormat="1" applyFont="1" applyFill="1" applyBorder="1"/>
    <xf numFmtId="0" fontId="0" fillId="5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0" fontId="0" fillId="0" borderId="6" xfId="0" applyFont="1" applyBorder="1"/>
    <xf numFmtId="14" fontId="0" fillId="5" borderId="2" xfId="0" applyNumberFormat="1" applyFont="1" applyFill="1" applyBorder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1"/>
  <sheetViews>
    <sheetView tabSelected="1" workbookViewId="0">
      <selection activeCell="N7" sqref="N7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12.5546875" customWidth="1"/>
    <col min="9" max="9" width="10.77734375" bestFit="1" customWidth="1"/>
    <col min="10" max="10" width="8.88671875" customWidth="1"/>
    <col min="11" max="11" width="15.44140625" bestFit="1" customWidth="1"/>
    <col min="12" max="12" width="11.44140625" bestFit="1" customWidth="1"/>
    <col min="13" max="13" width="17.33203125" bestFit="1" customWidth="1"/>
    <col min="14" max="14" width="31.21875" bestFit="1" customWidth="1"/>
    <col min="15" max="15" width="11" bestFit="1" customWidth="1"/>
    <col min="16" max="16" width="9.77734375" bestFit="1" customWidth="1"/>
    <col min="17" max="17" width="5" bestFit="1" customWidth="1"/>
  </cols>
  <sheetData>
    <row r="2" spans="1:17" s="1" customFormat="1" x14ac:dyDescent="0.3">
      <c r="H2" s="1">
        <v>1</v>
      </c>
      <c r="I2" s="1">
        <v>2</v>
      </c>
      <c r="J2" s="1">
        <v>3</v>
      </c>
      <c r="K2" s="1">
        <v>4</v>
      </c>
      <c r="L2" s="1">
        <v>5</v>
      </c>
      <c r="M2" s="1">
        <v>9</v>
      </c>
    </row>
    <row r="3" spans="1:17" s="18" customFormat="1" ht="15" x14ac:dyDescent="0.3">
      <c r="E3" s="18" t="s">
        <v>264</v>
      </c>
      <c r="H3" s="19" t="s">
        <v>265</v>
      </c>
      <c r="I3" s="20" t="s">
        <v>266</v>
      </c>
      <c r="J3" s="20" t="s">
        <v>267</v>
      </c>
      <c r="K3" s="18" t="s">
        <v>268</v>
      </c>
      <c r="L3" s="18" t="s">
        <v>269</v>
      </c>
      <c r="M3" s="18" t="s">
        <v>270</v>
      </c>
    </row>
    <row r="4" spans="1:17" x14ac:dyDescent="0.3">
      <c r="H4">
        <f>SUBTOTAL(1,$J$11:$J$201)</f>
        <v>401582.09947643976</v>
      </c>
      <c r="I4">
        <f>SUBTOTAL(2,$J$11:$J$201)</f>
        <v>191</v>
      </c>
      <c r="J4">
        <f>SUBTOTAL(3,$J$11:$J$201)</f>
        <v>191</v>
      </c>
      <c r="K4">
        <f>SUBTOTAL(4,$J$11:$J$201)</f>
        <v>499563</v>
      </c>
      <c r="L4">
        <f>SUBTOTAL(5,$J$11:$J$201)</f>
        <v>302582</v>
      </c>
      <c r="M4">
        <f>SUBTOTAL(9,$J$11:$J$201)</f>
        <v>76702181</v>
      </c>
    </row>
    <row r="10" spans="1:17" ht="15.6" x14ac:dyDescent="0.3">
      <c r="A10" s="5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  <c r="K10" s="6" t="s">
        <v>10</v>
      </c>
      <c r="L10" s="7" t="s">
        <v>11</v>
      </c>
      <c r="M10" s="6" t="s">
        <v>12</v>
      </c>
      <c r="N10" s="6" t="s">
        <v>13</v>
      </c>
      <c r="O10" s="6" t="s">
        <v>14</v>
      </c>
      <c r="P10" s="6" t="s">
        <v>15</v>
      </c>
      <c r="Q10" s="8" t="s">
        <v>16</v>
      </c>
    </row>
    <row r="11" spans="1:17" x14ac:dyDescent="0.3">
      <c r="A11" s="9">
        <v>523</v>
      </c>
      <c r="B11" s="10" t="s">
        <v>17</v>
      </c>
      <c r="C11" s="10" t="s">
        <v>18</v>
      </c>
      <c r="D11" s="10">
        <v>30</v>
      </c>
      <c r="E11" s="10" t="s">
        <v>19</v>
      </c>
      <c r="F11" s="10" t="s">
        <v>20</v>
      </c>
      <c r="G11" s="10" t="s">
        <v>21</v>
      </c>
      <c r="H11" s="10" t="s">
        <v>22</v>
      </c>
      <c r="I11" s="10" t="s">
        <v>23</v>
      </c>
      <c r="J11" s="10">
        <v>327589</v>
      </c>
      <c r="K11" s="10">
        <v>19</v>
      </c>
      <c r="L11" s="11">
        <v>45376</v>
      </c>
      <c r="M11" s="10">
        <v>3.86</v>
      </c>
      <c r="N11" s="10" t="s">
        <v>24</v>
      </c>
      <c r="O11" s="10">
        <v>7372222552</v>
      </c>
      <c r="P11" s="11" t="s">
        <v>25</v>
      </c>
      <c r="Q11" s="12">
        <v>2024</v>
      </c>
    </row>
    <row r="12" spans="1:17" x14ac:dyDescent="0.3">
      <c r="A12" s="13">
        <v>1014</v>
      </c>
      <c r="B12" s="14" t="s">
        <v>26</v>
      </c>
      <c r="C12" s="14" t="s">
        <v>18</v>
      </c>
      <c r="D12" s="14">
        <v>23</v>
      </c>
      <c r="E12" s="14" t="s">
        <v>19</v>
      </c>
      <c r="F12" s="14" t="s">
        <v>20</v>
      </c>
      <c r="G12" s="14" t="s">
        <v>27</v>
      </c>
      <c r="H12" s="14" t="s">
        <v>28</v>
      </c>
      <c r="I12" s="14" t="s">
        <v>29</v>
      </c>
      <c r="J12" s="14">
        <v>374646</v>
      </c>
      <c r="K12" s="14">
        <v>16</v>
      </c>
      <c r="L12" s="15">
        <v>45045</v>
      </c>
      <c r="M12" s="14">
        <v>2.06</v>
      </c>
      <c r="N12" s="14" t="s">
        <v>30</v>
      </c>
      <c r="O12" s="14">
        <v>9388625789</v>
      </c>
      <c r="P12" s="15" t="s">
        <v>31</v>
      </c>
      <c r="Q12" s="16">
        <v>2023</v>
      </c>
    </row>
    <row r="13" spans="1:17" x14ac:dyDescent="0.3">
      <c r="A13" s="9">
        <v>1132</v>
      </c>
      <c r="B13" s="10" t="s">
        <v>32</v>
      </c>
      <c r="C13" s="10" t="s">
        <v>33</v>
      </c>
      <c r="D13" s="10">
        <v>56</v>
      </c>
      <c r="E13" s="10" t="s">
        <v>19</v>
      </c>
      <c r="F13" s="10" t="s">
        <v>20</v>
      </c>
      <c r="G13" s="10" t="s">
        <v>34</v>
      </c>
      <c r="H13" s="10" t="s">
        <v>35</v>
      </c>
      <c r="I13" s="10" t="s">
        <v>36</v>
      </c>
      <c r="J13" s="10">
        <v>320771</v>
      </c>
      <c r="K13" s="10">
        <v>10</v>
      </c>
      <c r="L13" s="11">
        <v>45119</v>
      </c>
      <c r="M13" s="10">
        <v>3.61</v>
      </c>
      <c r="N13" s="10" t="s">
        <v>37</v>
      </c>
      <c r="O13" s="10">
        <v>8184450481</v>
      </c>
      <c r="P13" s="11" t="s">
        <v>38</v>
      </c>
      <c r="Q13" s="12">
        <v>2023</v>
      </c>
    </row>
    <row r="14" spans="1:17" x14ac:dyDescent="0.3">
      <c r="A14" s="13">
        <v>586</v>
      </c>
      <c r="B14" s="14" t="s">
        <v>39</v>
      </c>
      <c r="C14" s="14" t="s">
        <v>40</v>
      </c>
      <c r="D14" s="14">
        <v>32</v>
      </c>
      <c r="E14" s="14" t="s">
        <v>41</v>
      </c>
      <c r="F14" s="14" t="s">
        <v>20</v>
      </c>
      <c r="G14" s="14" t="s">
        <v>42</v>
      </c>
      <c r="H14" s="14" t="s">
        <v>35</v>
      </c>
      <c r="I14" s="14" t="s">
        <v>29</v>
      </c>
      <c r="J14" s="14">
        <v>349739</v>
      </c>
      <c r="K14" s="14">
        <v>1</v>
      </c>
      <c r="L14" s="15">
        <v>45123</v>
      </c>
      <c r="M14" s="14">
        <v>2.04</v>
      </c>
      <c r="N14" s="14" t="s">
        <v>43</v>
      </c>
      <c r="O14" s="14">
        <v>7634555751</v>
      </c>
      <c r="P14" s="15" t="s">
        <v>38</v>
      </c>
      <c r="Q14" s="16">
        <v>2023</v>
      </c>
    </row>
    <row r="15" spans="1:17" x14ac:dyDescent="0.3">
      <c r="A15" s="9">
        <v>951</v>
      </c>
      <c r="B15" s="10" t="s">
        <v>44</v>
      </c>
      <c r="C15" s="10" t="s">
        <v>45</v>
      </c>
      <c r="D15" s="10">
        <v>54</v>
      </c>
      <c r="E15" s="10" t="s">
        <v>19</v>
      </c>
      <c r="F15" s="10" t="s">
        <v>20</v>
      </c>
      <c r="G15" s="10" t="s">
        <v>34</v>
      </c>
      <c r="H15" s="10" t="s">
        <v>35</v>
      </c>
      <c r="I15" s="10" t="s">
        <v>36</v>
      </c>
      <c r="J15" s="10">
        <v>457051</v>
      </c>
      <c r="K15" s="10">
        <v>7</v>
      </c>
      <c r="L15" s="11">
        <v>45147</v>
      </c>
      <c r="M15" s="10">
        <v>1.35</v>
      </c>
      <c r="N15" s="10" t="s">
        <v>46</v>
      </c>
      <c r="O15" s="10">
        <v>7905053378</v>
      </c>
      <c r="P15" s="11" t="s">
        <v>47</v>
      </c>
      <c r="Q15" s="12">
        <v>2023</v>
      </c>
    </row>
    <row r="16" spans="1:17" x14ac:dyDescent="0.3">
      <c r="A16" s="13">
        <v>1487</v>
      </c>
      <c r="B16" s="14" t="s">
        <v>48</v>
      </c>
      <c r="C16" s="14" t="s">
        <v>49</v>
      </c>
      <c r="D16" s="14">
        <v>36</v>
      </c>
      <c r="E16" s="14" t="s">
        <v>19</v>
      </c>
      <c r="F16" s="14" t="s">
        <v>20</v>
      </c>
      <c r="G16" s="14" t="s">
        <v>42</v>
      </c>
      <c r="H16" s="14" t="s">
        <v>28</v>
      </c>
      <c r="I16" s="14" t="s">
        <v>50</v>
      </c>
      <c r="J16" s="14">
        <v>428569</v>
      </c>
      <c r="K16" s="14">
        <v>11</v>
      </c>
      <c r="L16" s="15">
        <v>45170</v>
      </c>
      <c r="M16" s="14">
        <v>2.91</v>
      </c>
      <c r="N16" s="14" t="s">
        <v>51</v>
      </c>
      <c r="O16" s="14">
        <v>7997300924</v>
      </c>
      <c r="P16" s="15" t="s">
        <v>52</v>
      </c>
      <c r="Q16" s="16">
        <v>2023</v>
      </c>
    </row>
    <row r="17" spans="1:17" x14ac:dyDescent="0.3">
      <c r="A17" s="9">
        <v>1198</v>
      </c>
      <c r="B17" s="10" t="s">
        <v>53</v>
      </c>
      <c r="C17" s="10" t="s">
        <v>54</v>
      </c>
      <c r="D17" s="10">
        <v>55</v>
      </c>
      <c r="E17" s="10" t="s">
        <v>41</v>
      </c>
      <c r="F17" s="10" t="s">
        <v>20</v>
      </c>
      <c r="G17" s="10" t="s">
        <v>55</v>
      </c>
      <c r="H17" s="10" t="s">
        <v>55</v>
      </c>
      <c r="I17" s="10" t="s">
        <v>29</v>
      </c>
      <c r="J17" s="10">
        <v>457357</v>
      </c>
      <c r="K17" s="10">
        <v>9</v>
      </c>
      <c r="L17" s="11">
        <v>45237</v>
      </c>
      <c r="M17" s="10">
        <v>2.19</v>
      </c>
      <c r="N17" s="10" t="s">
        <v>56</v>
      </c>
      <c r="O17" s="10">
        <v>8040101809</v>
      </c>
      <c r="P17" s="11" t="s">
        <v>57</v>
      </c>
      <c r="Q17" s="12">
        <v>2023</v>
      </c>
    </row>
    <row r="18" spans="1:17" x14ac:dyDescent="0.3">
      <c r="A18" s="13">
        <v>1523</v>
      </c>
      <c r="B18" s="14" t="s">
        <v>48</v>
      </c>
      <c r="C18" s="14" t="s">
        <v>45</v>
      </c>
      <c r="D18" s="14">
        <v>47</v>
      </c>
      <c r="E18" s="14" t="s">
        <v>41</v>
      </c>
      <c r="F18" s="14" t="s">
        <v>20</v>
      </c>
      <c r="G18" s="14" t="s">
        <v>27</v>
      </c>
      <c r="H18" s="14" t="s">
        <v>55</v>
      </c>
      <c r="I18" s="14" t="s">
        <v>50</v>
      </c>
      <c r="J18" s="14">
        <v>360445</v>
      </c>
      <c r="K18" s="14">
        <v>6</v>
      </c>
      <c r="L18" s="15">
        <v>44613</v>
      </c>
      <c r="M18" s="14">
        <v>5</v>
      </c>
      <c r="N18" s="14" t="s">
        <v>58</v>
      </c>
      <c r="O18" s="14">
        <v>9754511483</v>
      </c>
      <c r="P18" s="15" t="s">
        <v>59</v>
      </c>
      <c r="Q18" s="16">
        <v>2022</v>
      </c>
    </row>
    <row r="19" spans="1:17" x14ac:dyDescent="0.3">
      <c r="A19" s="9">
        <v>1883</v>
      </c>
      <c r="B19" s="10" t="s">
        <v>44</v>
      </c>
      <c r="C19" s="10" t="s">
        <v>40</v>
      </c>
      <c r="D19" s="10">
        <v>41</v>
      </c>
      <c r="E19" s="10" t="s">
        <v>19</v>
      </c>
      <c r="F19" s="10" t="s">
        <v>20</v>
      </c>
      <c r="G19" s="10" t="s">
        <v>42</v>
      </c>
      <c r="H19" s="10" t="s">
        <v>22</v>
      </c>
      <c r="I19" s="10" t="s">
        <v>60</v>
      </c>
      <c r="J19" s="10">
        <v>421832</v>
      </c>
      <c r="K19" s="10">
        <v>3</v>
      </c>
      <c r="L19" s="11">
        <v>44638</v>
      </c>
      <c r="M19" s="10">
        <v>4.8</v>
      </c>
      <c r="N19" s="10" t="s">
        <v>61</v>
      </c>
      <c r="O19" s="10">
        <v>9936705117</v>
      </c>
      <c r="P19" s="11" t="s">
        <v>25</v>
      </c>
      <c r="Q19" s="12">
        <v>2022</v>
      </c>
    </row>
    <row r="20" spans="1:17" x14ac:dyDescent="0.3">
      <c r="A20" s="13">
        <v>470</v>
      </c>
      <c r="B20" s="14" t="s">
        <v>48</v>
      </c>
      <c r="C20" s="14" t="s">
        <v>40</v>
      </c>
      <c r="D20" s="14">
        <v>60</v>
      </c>
      <c r="E20" s="14" t="s">
        <v>41</v>
      </c>
      <c r="F20" s="14" t="s">
        <v>20</v>
      </c>
      <c r="G20" s="14" t="s">
        <v>34</v>
      </c>
      <c r="H20" s="14" t="s">
        <v>22</v>
      </c>
      <c r="I20" s="14" t="s">
        <v>62</v>
      </c>
      <c r="J20" s="14">
        <v>360887</v>
      </c>
      <c r="K20" s="14">
        <v>6</v>
      </c>
      <c r="L20" s="15">
        <v>44647</v>
      </c>
      <c r="M20" s="14">
        <v>1.1399999999999999</v>
      </c>
      <c r="N20" s="14" t="s">
        <v>63</v>
      </c>
      <c r="O20" s="14">
        <v>7636605986</v>
      </c>
      <c r="P20" s="15" t="s">
        <v>25</v>
      </c>
      <c r="Q20" s="16">
        <v>2022</v>
      </c>
    </row>
    <row r="21" spans="1:17" x14ac:dyDescent="0.3">
      <c r="A21" s="9">
        <v>887</v>
      </c>
      <c r="B21" s="10" t="s">
        <v>26</v>
      </c>
      <c r="C21" s="10" t="s">
        <v>45</v>
      </c>
      <c r="D21" s="10">
        <v>40</v>
      </c>
      <c r="E21" s="10" t="s">
        <v>19</v>
      </c>
      <c r="F21" s="10" t="s">
        <v>20</v>
      </c>
      <c r="G21" s="10" t="s">
        <v>55</v>
      </c>
      <c r="H21" s="10" t="s">
        <v>22</v>
      </c>
      <c r="I21" s="10" t="s">
        <v>60</v>
      </c>
      <c r="J21" s="10">
        <v>354955</v>
      </c>
      <c r="K21" s="10">
        <v>13</v>
      </c>
      <c r="L21" s="11">
        <v>44681</v>
      </c>
      <c r="M21" s="10">
        <v>4.46</v>
      </c>
      <c r="N21" s="10" t="s">
        <v>64</v>
      </c>
      <c r="O21" s="10">
        <v>8424871062</v>
      </c>
      <c r="P21" s="11" t="s">
        <v>31</v>
      </c>
      <c r="Q21" s="12">
        <v>2022</v>
      </c>
    </row>
    <row r="22" spans="1:17" x14ac:dyDescent="0.3">
      <c r="A22" s="13">
        <v>20</v>
      </c>
      <c r="B22" s="14" t="s">
        <v>26</v>
      </c>
      <c r="C22" s="14" t="s">
        <v>65</v>
      </c>
      <c r="D22" s="14">
        <v>59</v>
      </c>
      <c r="E22" s="14" t="s">
        <v>19</v>
      </c>
      <c r="F22" s="14" t="s">
        <v>20</v>
      </c>
      <c r="G22" s="14" t="s">
        <v>42</v>
      </c>
      <c r="H22" s="14" t="s">
        <v>35</v>
      </c>
      <c r="I22" s="14" t="s">
        <v>60</v>
      </c>
      <c r="J22" s="14">
        <v>319509</v>
      </c>
      <c r="K22" s="14">
        <v>20</v>
      </c>
      <c r="L22" s="15">
        <v>44709</v>
      </c>
      <c r="M22" s="14">
        <v>1.02</v>
      </c>
      <c r="N22" s="14" t="s">
        <v>66</v>
      </c>
      <c r="O22" s="14">
        <v>7024439149</v>
      </c>
      <c r="P22" s="15" t="s">
        <v>67</v>
      </c>
      <c r="Q22" s="16">
        <v>2022</v>
      </c>
    </row>
    <row r="23" spans="1:17" x14ac:dyDescent="0.3">
      <c r="A23" s="9">
        <v>1602</v>
      </c>
      <c r="B23" s="10" t="s">
        <v>68</v>
      </c>
      <c r="C23" s="10" t="s">
        <v>40</v>
      </c>
      <c r="D23" s="10">
        <v>43</v>
      </c>
      <c r="E23" s="10" t="s">
        <v>19</v>
      </c>
      <c r="F23" s="10" t="s">
        <v>20</v>
      </c>
      <c r="G23" s="10" t="s">
        <v>55</v>
      </c>
      <c r="H23" s="10" t="s">
        <v>69</v>
      </c>
      <c r="I23" s="10" t="s">
        <v>50</v>
      </c>
      <c r="J23" s="10">
        <v>353655</v>
      </c>
      <c r="K23" s="10">
        <v>2</v>
      </c>
      <c r="L23" s="11">
        <v>44810</v>
      </c>
      <c r="M23" s="10">
        <v>2.0499999999999998</v>
      </c>
      <c r="N23" s="10" t="s">
        <v>70</v>
      </c>
      <c r="O23" s="10">
        <v>8384438440</v>
      </c>
      <c r="P23" s="11" t="s">
        <v>52</v>
      </c>
      <c r="Q23" s="12">
        <v>2022</v>
      </c>
    </row>
    <row r="24" spans="1:17" x14ac:dyDescent="0.3">
      <c r="A24" s="13">
        <v>730</v>
      </c>
      <c r="B24" s="14" t="s">
        <v>53</v>
      </c>
      <c r="C24" s="14" t="s">
        <v>33</v>
      </c>
      <c r="D24" s="14">
        <v>24</v>
      </c>
      <c r="E24" s="14" t="s">
        <v>19</v>
      </c>
      <c r="F24" s="14" t="s">
        <v>20</v>
      </c>
      <c r="G24" s="14" t="s">
        <v>34</v>
      </c>
      <c r="H24" s="14" t="s">
        <v>28</v>
      </c>
      <c r="I24" s="14" t="s">
        <v>50</v>
      </c>
      <c r="J24" s="14">
        <v>493651</v>
      </c>
      <c r="K24" s="14">
        <v>3</v>
      </c>
      <c r="L24" s="15">
        <v>44889</v>
      </c>
      <c r="M24" s="14">
        <v>1.54</v>
      </c>
      <c r="N24" s="14" t="s">
        <v>71</v>
      </c>
      <c r="O24" s="14">
        <v>7517772275</v>
      </c>
      <c r="P24" s="15" t="s">
        <v>57</v>
      </c>
      <c r="Q24" s="16">
        <v>2022</v>
      </c>
    </row>
    <row r="25" spans="1:17" x14ac:dyDescent="0.3">
      <c r="A25" s="9">
        <v>867</v>
      </c>
      <c r="B25" s="10" t="s">
        <v>26</v>
      </c>
      <c r="C25" s="10" t="s">
        <v>72</v>
      </c>
      <c r="D25" s="10">
        <v>43</v>
      </c>
      <c r="E25" s="10" t="s">
        <v>19</v>
      </c>
      <c r="F25" s="10" t="s">
        <v>20</v>
      </c>
      <c r="G25" s="10" t="s">
        <v>21</v>
      </c>
      <c r="H25" s="10" t="s">
        <v>22</v>
      </c>
      <c r="I25" s="10" t="s">
        <v>29</v>
      </c>
      <c r="J25" s="10">
        <v>404995</v>
      </c>
      <c r="K25" s="10">
        <v>20</v>
      </c>
      <c r="L25" s="11">
        <v>44327</v>
      </c>
      <c r="M25" s="10">
        <v>1.1399999999999999</v>
      </c>
      <c r="N25" s="10" t="s">
        <v>73</v>
      </c>
      <c r="O25" s="10">
        <v>7372846239</v>
      </c>
      <c r="P25" s="11" t="s">
        <v>67</v>
      </c>
      <c r="Q25" s="12">
        <v>2021</v>
      </c>
    </row>
    <row r="26" spans="1:17" x14ac:dyDescent="0.3">
      <c r="A26" s="13">
        <v>677</v>
      </c>
      <c r="B26" s="14" t="s">
        <v>17</v>
      </c>
      <c r="C26" s="14" t="s">
        <v>40</v>
      </c>
      <c r="D26" s="14">
        <v>58</v>
      </c>
      <c r="E26" s="14" t="s">
        <v>41</v>
      </c>
      <c r="F26" s="14" t="s">
        <v>20</v>
      </c>
      <c r="G26" s="14" t="s">
        <v>34</v>
      </c>
      <c r="H26" s="14" t="s">
        <v>35</v>
      </c>
      <c r="I26" s="14" t="s">
        <v>29</v>
      </c>
      <c r="J26" s="14">
        <v>485770</v>
      </c>
      <c r="K26" s="14">
        <v>19</v>
      </c>
      <c r="L26" s="15">
        <v>44475</v>
      </c>
      <c r="M26" s="14">
        <v>4.71</v>
      </c>
      <c r="N26" s="14" t="s">
        <v>74</v>
      </c>
      <c r="O26" s="14">
        <v>8773513869</v>
      </c>
      <c r="P26" s="15" t="s">
        <v>75</v>
      </c>
      <c r="Q26" s="16">
        <v>2021</v>
      </c>
    </row>
    <row r="27" spans="1:17" x14ac:dyDescent="0.3">
      <c r="A27" s="9">
        <v>1961</v>
      </c>
      <c r="B27" s="10" t="s">
        <v>68</v>
      </c>
      <c r="C27" s="10" t="s">
        <v>33</v>
      </c>
      <c r="D27" s="10">
        <v>29</v>
      </c>
      <c r="E27" s="10" t="s">
        <v>41</v>
      </c>
      <c r="F27" s="10" t="s">
        <v>20</v>
      </c>
      <c r="G27" s="10" t="s">
        <v>21</v>
      </c>
      <c r="H27" s="10" t="s">
        <v>76</v>
      </c>
      <c r="I27" s="10" t="s">
        <v>62</v>
      </c>
      <c r="J27" s="10">
        <v>398462</v>
      </c>
      <c r="K27" s="10">
        <v>5</v>
      </c>
      <c r="L27" s="11">
        <v>44017</v>
      </c>
      <c r="M27" s="10">
        <v>3.99</v>
      </c>
      <c r="N27" s="10" t="s">
        <v>77</v>
      </c>
      <c r="O27" s="10">
        <v>9761448691</v>
      </c>
      <c r="P27" s="11" t="s">
        <v>38</v>
      </c>
      <c r="Q27" s="12">
        <v>2020</v>
      </c>
    </row>
    <row r="28" spans="1:17" x14ac:dyDescent="0.3">
      <c r="A28" s="13">
        <v>191</v>
      </c>
      <c r="B28" s="14" t="s">
        <v>44</v>
      </c>
      <c r="C28" s="14" t="s">
        <v>54</v>
      </c>
      <c r="D28" s="14">
        <v>35</v>
      </c>
      <c r="E28" s="14" t="s">
        <v>41</v>
      </c>
      <c r="F28" s="14" t="s">
        <v>20</v>
      </c>
      <c r="G28" s="14" t="s">
        <v>55</v>
      </c>
      <c r="H28" s="14" t="s">
        <v>78</v>
      </c>
      <c r="I28" s="14" t="s">
        <v>29</v>
      </c>
      <c r="J28" s="14">
        <v>311211</v>
      </c>
      <c r="K28" s="14">
        <v>9</v>
      </c>
      <c r="L28" s="15">
        <v>44099</v>
      </c>
      <c r="M28" s="14">
        <v>3.28</v>
      </c>
      <c r="N28" s="14" t="s">
        <v>79</v>
      </c>
      <c r="O28" s="14">
        <v>8487338282</v>
      </c>
      <c r="P28" s="15" t="s">
        <v>52</v>
      </c>
      <c r="Q28" s="16">
        <v>2020</v>
      </c>
    </row>
    <row r="29" spans="1:17" x14ac:dyDescent="0.3">
      <c r="A29" s="9">
        <v>360</v>
      </c>
      <c r="B29" s="10" t="s">
        <v>39</v>
      </c>
      <c r="C29" s="10" t="s">
        <v>45</v>
      </c>
      <c r="D29" s="10">
        <v>59</v>
      </c>
      <c r="E29" s="10" t="s">
        <v>19</v>
      </c>
      <c r="F29" s="10" t="s">
        <v>20</v>
      </c>
      <c r="G29" s="10" t="s">
        <v>55</v>
      </c>
      <c r="H29" s="10" t="s">
        <v>35</v>
      </c>
      <c r="I29" s="10" t="s">
        <v>36</v>
      </c>
      <c r="J29" s="10">
        <v>466085</v>
      </c>
      <c r="K29" s="10">
        <v>0</v>
      </c>
      <c r="L29" s="11">
        <v>44150</v>
      </c>
      <c r="M29" s="10">
        <v>3.53</v>
      </c>
      <c r="N29" s="10" t="s">
        <v>80</v>
      </c>
      <c r="O29" s="10">
        <v>8203853558</v>
      </c>
      <c r="P29" s="11" t="s">
        <v>57</v>
      </c>
      <c r="Q29" s="12">
        <v>2020</v>
      </c>
    </row>
    <row r="30" spans="1:17" x14ac:dyDescent="0.3">
      <c r="A30" s="13">
        <v>1812</v>
      </c>
      <c r="B30" s="14" t="s">
        <v>26</v>
      </c>
      <c r="C30" s="14" t="s">
        <v>81</v>
      </c>
      <c r="D30" s="14">
        <v>26</v>
      </c>
      <c r="E30" s="14" t="s">
        <v>41</v>
      </c>
      <c r="F30" s="14" t="s">
        <v>20</v>
      </c>
      <c r="G30" s="14" t="s">
        <v>55</v>
      </c>
      <c r="H30" s="14" t="s">
        <v>55</v>
      </c>
      <c r="I30" s="14" t="s">
        <v>62</v>
      </c>
      <c r="J30" s="14">
        <v>344863</v>
      </c>
      <c r="K30" s="14">
        <v>2</v>
      </c>
      <c r="L30" s="15">
        <v>43489</v>
      </c>
      <c r="M30" s="14">
        <v>3.73</v>
      </c>
      <c r="N30" s="14" t="s">
        <v>82</v>
      </c>
      <c r="O30" s="14">
        <v>8134273571</v>
      </c>
      <c r="P30" s="15" t="s">
        <v>83</v>
      </c>
      <c r="Q30" s="16">
        <v>2019</v>
      </c>
    </row>
    <row r="31" spans="1:17" x14ac:dyDescent="0.3">
      <c r="A31" s="9">
        <v>210</v>
      </c>
      <c r="B31" s="10" t="s">
        <v>26</v>
      </c>
      <c r="C31" s="10" t="s">
        <v>18</v>
      </c>
      <c r="D31" s="10">
        <v>60</v>
      </c>
      <c r="E31" s="10" t="s">
        <v>41</v>
      </c>
      <c r="F31" s="10" t="s">
        <v>20</v>
      </c>
      <c r="G31" s="10" t="s">
        <v>42</v>
      </c>
      <c r="H31" s="10" t="s">
        <v>55</v>
      </c>
      <c r="I31" s="10" t="s">
        <v>60</v>
      </c>
      <c r="J31" s="10">
        <v>434911</v>
      </c>
      <c r="K31" s="10">
        <v>19</v>
      </c>
      <c r="L31" s="11">
        <v>43558</v>
      </c>
      <c r="M31" s="10">
        <v>2.2200000000000002</v>
      </c>
      <c r="N31" s="10" t="s">
        <v>84</v>
      </c>
      <c r="O31" s="10">
        <v>9009065755</v>
      </c>
      <c r="P31" s="11" t="s">
        <v>31</v>
      </c>
      <c r="Q31" s="12">
        <v>2019</v>
      </c>
    </row>
    <row r="32" spans="1:17" x14ac:dyDescent="0.3">
      <c r="A32" s="13">
        <v>620</v>
      </c>
      <c r="B32" s="14" t="s">
        <v>85</v>
      </c>
      <c r="C32" s="14" t="s">
        <v>49</v>
      </c>
      <c r="D32" s="14">
        <v>32</v>
      </c>
      <c r="E32" s="14" t="s">
        <v>19</v>
      </c>
      <c r="F32" s="14" t="s">
        <v>20</v>
      </c>
      <c r="G32" s="14" t="s">
        <v>34</v>
      </c>
      <c r="H32" s="14" t="s">
        <v>22</v>
      </c>
      <c r="I32" s="14" t="s">
        <v>23</v>
      </c>
      <c r="J32" s="14">
        <v>436793</v>
      </c>
      <c r="K32" s="14">
        <v>9</v>
      </c>
      <c r="L32" s="15">
        <v>43795</v>
      </c>
      <c r="M32" s="14">
        <v>3.62</v>
      </c>
      <c r="N32" s="14" t="s">
        <v>86</v>
      </c>
      <c r="O32" s="14">
        <v>9149817428</v>
      </c>
      <c r="P32" s="15" t="s">
        <v>57</v>
      </c>
      <c r="Q32" s="16">
        <v>2019</v>
      </c>
    </row>
    <row r="33" spans="1:17" x14ac:dyDescent="0.3">
      <c r="A33" s="9">
        <v>142</v>
      </c>
      <c r="B33" s="10" t="s">
        <v>17</v>
      </c>
      <c r="C33" s="10" t="s">
        <v>49</v>
      </c>
      <c r="D33" s="10">
        <v>34</v>
      </c>
      <c r="E33" s="10" t="s">
        <v>19</v>
      </c>
      <c r="F33" s="10" t="s">
        <v>20</v>
      </c>
      <c r="G33" s="10" t="s">
        <v>34</v>
      </c>
      <c r="H33" s="10" t="s">
        <v>55</v>
      </c>
      <c r="I33" s="10" t="s">
        <v>29</v>
      </c>
      <c r="J33" s="10">
        <v>434918</v>
      </c>
      <c r="K33" s="10">
        <v>7</v>
      </c>
      <c r="L33" s="11">
        <v>43114</v>
      </c>
      <c r="M33" s="10">
        <v>3.62</v>
      </c>
      <c r="N33" s="10" t="s">
        <v>87</v>
      </c>
      <c r="O33" s="10">
        <v>7398235392</v>
      </c>
      <c r="P33" s="11" t="s">
        <v>83</v>
      </c>
      <c r="Q33" s="12">
        <v>2018</v>
      </c>
    </row>
    <row r="34" spans="1:17" x14ac:dyDescent="0.3">
      <c r="A34" s="13">
        <v>1355</v>
      </c>
      <c r="B34" s="14" t="s">
        <v>17</v>
      </c>
      <c r="C34" s="14" t="s">
        <v>18</v>
      </c>
      <c r="D34" s="14">
        <v>32</v>
      </c>
      <c r="E34" s="14" t="s">
        <v>41</v>
      </c>
      <c r="F34" s="14" t="s">
        <v>20</v>
      </c>
      <c r="G34" s="14" t="s">
        <v>27</v>
      </c>
      <c r="H34" s="14" t="s">
        <v>55</v>
      </c>
      <c r="I34" s="14" t="s">
        <v>62</v>
      </c>
      <c r="J34" s="14">
        <v>329069</v>
      </c>
      <c r="K34" s="14">
        <v>19</v>
      </c>
      <c r="L34" s="15">
        <v>43143</v>
      </c>
      <c r="M34" s="14">
        <v>2.57</v>
      </c>
      <c r="N34" s="14" t="s">
        <v>88</v>
      </c>
      <c r="O34" s="14">
        <v>8906426660</v>
      </c>
      <c r="P34" s="15" t="s">
        <v>59</v>
      </c>
      <c r="Q34" s="16">
        <v>2018</v>
      </c>
    </row>
    <row r="35" spans="1:17" x14ac:dyDescent="0.3">
      <c r="A35" s="9">
        <v>1286</v>
      </c>
      <c r="B35" s="10" t="s">
        <v>17</v>
      </c>
      <c r="C35" s="10" t="s">
        <v>54</v>
      </c>
      <c r="D35" s="10">
        <v>56</v>
      </c>
      <c r="E35" s="10" t="s">
        <v>41</v>
      </c>
      <c r="F35" s="10" t="s">
        <v>20</v>
      </c>
      <c r="G35" s="10" t="s">
        <v>27</v>
      </c>
      <c r="H35" s="10" t="s">
        <v>22</v>
      </c>
      <c r="I35" s="10" t="s">
        <v>50</v>
      </c>
      <c r="J35" s="10">
        <v>319655</v>
      </c>
      <c r="K35" s="10">
        <v>11</v>
      </c>
      <c r="L35" s="11">
        <v>43259</v>
      </c>
      <c r="M35" s="10">
        <v>4.01</v>
      </c>
      <c r="N35" s="10" t="s">
        <v>89</v>
      </c>
      <c r="O35" s="10">
        <v>7745621205</v>
      </c>
      <c r="P35" s="11" t="s">
        <v>90</v>
      </c>
      <c r="Q35" s="12">
        <v>2018</v>
      </c>
    </row>
    <row r="36" spans="1:17" x14ac:dyDescent="0.3">
      <c r="A36" s="13">
        <v>1191</v>
      </c>
      <c r="B36" s="14" t="s">
        <v>68</v>
      </c>
      <c r="C36" s="14" t="s">
        <v>81</v>
      </c>
      <c r="D36" s="14">
        <v>43</v>
      </c>
      <c r="E36" s="14" t="s">
        <v>19</v>
      </c>
      <c r="F36" s="14" t="s">
        <v>20</v>
      </c>
      <c r="G36" s="14" t="s">
        <v>34</v>
      </c>
      <c r="H36" s="14" t="s">
        <v>69</v>
      </c>
      <c r="I36" s="14" t="s">
        <v>60</v>
      </c>
      <c r="J36" s="14">
        <v>324914</v>
      </c>
      <c r="K36" s="14">
        <v>6</v>
      </c>
      <c r="L36" s="15">
        <v>43320</v>
      </c>
      <c r="M36" s="14">
        <v>4.0199999999999996</v>
      </c>
      <c r="N36" s="14" t="s">
        <v>91</v>
      </c>
      <c r="O36" s="14">
        <v>9738713397</v>
      </c>
      <c r="P36" s="15" t="s">
        <v>47</v>
      </c>
      <c r="Q36" s="16">
        <v>2018</v>
      </c>
    </row>
    <row r="37" spans="1:17" x14ac:dyDescent="0.3">
      <c r="A37" s="9">
        <v>1968</v>
      </c>
      <c r="B37" s="10" t="s">
        <v>85</v>
      </c>
      <c r="C37" s="10" t="s">
        <v>92</v>
      </c>
      <c r="D37" s="10">
        <v>37</v>
      </c>
      <c r="E37" s="10" t="s">
        <v>41</v>
      </c>
      <c r="F37" s="10" t="s">
        <v>20</v>
      </c>
      <c r="G37" s="10" t="s">
        <v>34</v>
      </c>
      <c r="H37" s="10" t="s">
        <v>55</v>
      </c>
      <c r="I37" s="10" t="s">
        <v>50</v>
      </c>
      <c r="J37" s="10">
        <v>422480</v>
      </c>
      <c r="K37" s="10">
        <v>1</v>
      </c>
      <c r="L37" s="11">
        <v>43424</v>
      </c>
      <c r="M37" s="10">
        <v>1.03</v>
      </c>
      <c r="N37" s="10" t="s">
        <v>93</v>
      </c>
      <c r="O37" s="10">
        <v>8628942323</v>
      </c>
      <c r="P37" s="11" t="s">
        <v>57</v>
      </c>
      <c r="Q37" s="12">
        <v>2018</v>
      </c>
    </row>
    <row r="38" spans="1:17" x14ac:dyDescent="0.3">
      <c r="A38" s="13">
        <v>1856</v>
      </c>
      <c r="B38" s="14" t="s">
        <v>26</v>
      </c>
      <c r="C38" s="14" t="s">
        <v>92</v>
      </c>
      <c r="D38" s="14">
        <v>44</v>
      </c>
      <c r="E38" s="14" t="s">
        <v>41</v>
      </c>
      <c r="F38" s="14" t="s">
        <v>20</v>
      </c>
      <c r="G38" s="14" t="s">
        <v>34</v>
      </c>
      <c r="H38" s="14" t="s">
        <v>35</v>
      </c>
      <c r="I38" s="14" t="s">
        <v>62</v>
      </c>
      <c r="J38" s="14">
        <v>338083</v>
      </c>
      <c r="K38" s="14">
        <v>11</v>
      </c>
      <c r="L38" s="15">
        <v>42802</v>
      </c>
      <c r="M38" s="14">
        <v>1.0900000000000001</v>
      </c>
      <c r="N38" s="14" t="s">
        <v>94</v>
      </c>
      <c r="O38" s="14">
        <v>7388115115</v>
      </c>
      <c r="P38" s="15" t="s">
        <v>25</v>
      </c>
      <c r="Q38" s="16">
        <v>2017</v>
      </c>
    </row>
    <row r="39" spans="1:17" x14ac:dyDescent="0.3">
      <c r="A39" s="9">
        <v>1725</v>
      </c>
      <c r="B39" s="10" t="s">
        <v>32</v>
      </c>
      <c r="C39" s="10" t="s">
        <v>92</v>
      </c>
      <c r="D39" s="10">
        <v>43</v>
      </c>
      <c r="E39" s="10" t="s">
        <v>41</v>
      </c>
      <c r="F39" s="10" t="s">
        <v>20</v>
      </c>
      <c r="G39" s="10" t="s">
        <v>27</v>
      </c>
      <c r="H39" s="10" t="s">
        <v>22</v>
      </c>
      <c r="I39" s="10" t="s">
        <v>60</v>
      </c>
      <c r="J39" s="10">
        <v>446847</v>
      </c>
      <c r="K39" s="10">
        <v>1</v>
      </c>
      <c r="L39" s="11">
        <v>42816</v>
      </c>
      <c r="M39" s="10">
        <v>3.8</v>
      </c>
      <c r="N39" s="10" t="s">
        <v>95</v>
      </c>
      <c r="O39" s="10">
        <v>7717579965</v>
      </c>
      <c r="P39" s="11" t="s">
        <v>25</v>
      </c>
      <c r="Q39" s="12">
        <v>2017</v>
      </c>
    </row>
    <row r="40" spans="1:17" x14ac:dyDescent="0.3">
      <c r="A40" s="13">
        <v>1359</v>
      </c>
      <c r="B40" s="14" t="s">
        <v>68</v>
      </c>
      <c r="C40" s="14" t="s">
        <v>49</v>
      </c>
      <c r="D40" s="14">
        <v>26</v>
      </c>
      <c r="E40" s="14" t="s">
        <v>19</v>
      </c>
      <c r="F40" s="14" t="s">
        <v>20</v>
      </c>
      <c r="G40" s="14" t="s">
        <v>21</v>
      </c>
      <c r="H40" s="14" t="s">
        <v>35</v>
      </c>
      <c r="I40" s="14" t="s">
        <v>23</v>
      </c>
      <c r="J40" s="14">
        <v>313819</v>
      </c>
      <c r="K40" s="14">
        <v>6</v>
      </c>
      <c r="L40" s="15">
        <v>42846</v>
      </c>
      <c r="M40" s="14">
        <v>1.26</v>
      </c>
      <c r="N40" s="14" t="s">
        <v>96</v>
      </c>
      <c r="O40" s="14">
        <v>9039963025</v>
      </c>
      <c r="P40" s="15" t="s">
        <v>31</v>
      </c>
      <c r="Q40" s="16">
        <v>2017</v>
      </c>
    </row>
    <row r="41" spans="1:17" x14ac:dyDescent="0.3">
      <c r="A41" s="9">
        <v>354</v>
      </c>
      <c r="B41" s="10" t="s">
        <v>85</v>
      </c>
      <c r="C41" s="10" t="s">
        <v>54</v>
      </c>
      <c r="D41" s="10">
        <v>37</v>
      </c>
      <c r="E41" s="10" t="s">
        <v>19</v>
      </c>
      <c r="F41" s="10" t="s">
        <v>20</v>
      </c>
      <c r="G41" s="10" t="s">
        <v>42</v>
      </c>
      <c r="H41" s="10" t="s">
        <v>22</v>
      </c>
      <c r="I41" s="10" t="s">
        <v>60</v>
      </c>
      <c r="J41" s="10">
        <v>440778</v>
      </c>
      <c r="K41" s="10">
        <v>6</v>
      </c>
      <c r="L41" s="11">
        <v>42852</v>
      </c>
      <c r="M41" s="10">
        <v>1.98</v>
      </c>
      <c r="N41" s="10" t="s">
        <v>97</v>
      </c>
      <c r="O41" s="10">
        <v>9677488033</v>
      </c>
      <c r="P41" s="11" t="s">
        <v>31</v>
      </c>
      <c r="Q41" s="12">
        <v>2017</v>
      </c>
    </row>
    <row r="42" spans="1:17" x14ac:dyDescent="0.3">
      <c r="A42" s="13">
        <v>1928</v>
      </c>
      <c r="B42" s="14" t="s">
        <v>68</v>
      </c>
      <c r="C42" s="14" t="s">
        <v>54</v>
      </c>
      <c r="D42" s="14">
        <v>46</v>
      </c>
      <c r="E42" s="14" t="s">
        <v>19</v>
      </c>
      <c r="F42" s="14" t="s">
        <v>20</v>
      </c>
      <c r="G42" s="14" t="s">
        <v>42</v>
      </c>
      <c r="H42" s="14" t="s">
        <v>28</v>
      </c>
      <c r="I42" s="14" t="s">
        <v>29</v>
      </c>
      <c r="J42" s="14">
        <v>425585</v>
      </c>
      <c r="K42" s="14">
        <v>2</v>
      </c>
      <c r="L42" s="15">
        <v>42930</v>
      </c>
      <c r="M42" s="14">
        <v>4.79</v>
      </c>
      <c r="N42" s="14" t="s">
        <v>98</v>
      </c>
      <c r="O42" s="14">
        <v>7412833950</v>
      </c>
      <c r="P42" s="15" t="s">
        <v>38</v>
      </c>
      <c r="Q42" s="16">
        <v>2017</v>
      </c>
    </row>
    <row r="43" spans="1:17" x14ac:dyDescent="0.3">
      <c r="A43" s="9">
        <v>537</v>
      </c>
      <c r="B43" s="10" t="s">
        <v>44</v>
      </c>
      <c r="C43" s="10" t="s">
        <v>45</v>
      </c>
      <c r="D43" s="10">
        <v>29</v>
      </c>
      <c r="E43" s="10" t="s">
        <v>19</v>
      </c>
      <c r="F43" s="10" t="s">
        <v>20</v>
      </c>
      <c r="G43" s="10" t="s">
        <v>21</v>
      </c>
      <c r="H43" s="10" t="s">
        <v>22</v>
      </c>
      <c r="I43" s="10" t="s">
        <v>29</v>
      </c>
      <c r="J43" s="10">
        <v>343105</v>
      </c>
      <c r="K43" s="10">
        <v>5</v>
      </c>
      <c r="L43" s="11">
        <v>43085</v>
      </c>
      <c r="M43" s="10">
        <v>3.35</v>
      </c>
      <c r="N43" s="10" t="s">
        <v>99</v>
      </c>
      <c r="O43" s="10">
        <v>8201032899</v>
      </c>
      <c r="P43" s="11" t="s">
        <v>100</v>
      </c>
      <c r="Q43" s="12">
        <v>2017</v>
      </c>
    </row>
    <row r="44" spans="1:17" x14ac:dyDescent="0.3">
      <c r="A44" s="13">
        <v>847</v>
      </c>
      <c r="B44" s="14" t="s">
        <v>39</v>
      </c>
      <c r="C44" s="14" t="s">
        <v>92</v>
      </c>
      <c r="D44" s="14">
        <v>44</v>
      </c>
      <c r="E44" s="14" t="s">
        <v>19</v>
      </c>
      <c r="F44" s="14" t="s">
        <v>20</v>
      </c>
      <c r="G44" s="14" t="s">
        <v>42</v>
      </c>
      <c r="H44" s="14" t="s">
        <v>55</v>
      </c>
      <c r="I44" s="14" t="s">
        <v>29</v>
      </c>
      <c r="J44" s="14">
        <v>359737</v>
      </c>
      <c r="K44" s="14">
        <v>4</v>
      </c>
      <c r="L44" s="15">
        <v>42434</v>
      </c>
      <c r="M44" s="14">
        <v>4.3</v>
      </c>
      <c r="N44" s="14" t="s">
        <v>101</v>
      </c>
      <c r="O44" s="14">
        <v>7952843051</v>
      </c>
      <c r="P44" s="15" t="s">
        <v>25</v>
      </c>
      <c r="Q44" s="16">
        <v>2016</v>
      </c>
    </row>
    <row r="45" spans="1:17" x14ac:dyDescent="0.3">
      <c r="A45" s="9">
        <v>425</v>
      </c>
      <c r="B45" s="10" t="s">
        <v>68</v>
      </c>
      <c r="C45" s="10" t="s">
        <v>65</v>
      </c>
      <c r="D45" s="10">
        <v>34</v>
      </c>
      <c r="E45" s="10" t="s">
        <v>19</v>
      </c>
      <c r="F45" s="10" t="s">
        <v>20</v>
      </c>
      <c r="G45" s="10" t="s">
        <v>21</v>
      </c>
      <c r="H45" s="10" t="s">
        <v>28</v>
      </c>
      <c r="I45" s="10" t="s">
        <v>62</v>
      </c>
      <c r="J45" s="10">
        <v>488560</v>
      </c>
      <c r="K45" s="10">
        <v>13</v>
      </c>
      <c r="L45" s="11">
        <v>42496</v>
      </c>
      <c r="M45" s="10">
        <v>4.53</v>
      </c>
      <c r="N45" s="10" t="s">
        <v>102</v>
      </c>
      <c r="O45" s="10">
        <v>7995186563</v>
      </c>
      <c r="P45" s="11" t="s">
        <v>67</v>
      </c>
      <c r="Q45" s="12">
        <v>2016</v>
      </c>
    </row>
    <row r="46" spans="1:17" x14ac:dyDescent="0.3">
      <c r="A46" s="13">
        <v>29</v>
      </c>
      <c r="B46" s="14" t="s">
        <v>103</v>
      </c>
      <c r="C46" s="14" t="s">
        <v>72</v>
      </c>
      <c r="D46" s="14">
        <v>34</v>
      </c>
      <c r="E46" s="14" t="s">
        <v>19</v>
      </c>
      <c r="F46" s="14" t="s">
        <v>20</v>
      </c>
      <c r="G46" s="14" t="s">
        <v>42</v>
      </c>
      <c r="H46" s="14" t="s">
        <v>55</v>
      </c>
      <c r="I46" s="14" t="s">
        <v>29</v>
      </c>
      <c r="J46" s="14">
        <v>475871</v>
      </c>
      <c r="K46" s="14">
        <v>7</v>
      </c>
      <c r="L46" s="15">
        <v>42601</v>
      </c>
      <c r="M46" s="14">
        <v>2.99</v>
      </c>
      <c r="N46" s="14" t="s">
        <v>104</v>
      </c>
      <c r="O46" s="14">
        <v>9042115526</v>
      </c>
      <c r="P46" s="15" t="s">
        <v>47</v>
      </c>
      <c r="Q46" s="16">
        <v>2016</v>
      </c>
    </row>
    <row r="47" spans="1:17" x14ac:dyDescent="0.3">
      <c r="A47" s="9">
        <v>1679</v>
      </c>
      <c r="B47" s="10" t="s">
        <v>17</v>
      </c>
      <c r="C47" s="10" t="s">
        <v>18</v>
      </c>
      <c r="D47" s="10">
        <v>40</v>
      </c>
      <c r="E47" s="10" t="s">
        <v>19</v>
      </c>
      <c r="F47" s="10" t="s">
        <v>20</v>
      </c>
      <c r="G47" s="10" t="s">
        <v>42</v>
      </c>
      <c r="H47" s="10" t="s">
        <v>55</v>
      </c>
      <c r="I47" s="10" t="s">
        <v>23</v>
      </c>
      <c r="J47" s="10">
        <v>481380</v>
      </c>
      <c r="K47" s="10">
        <v>16</v>
      </c>
      <c r="L47" s="11">
        <v>42638</v>
      </c>
      <c r="M47" s="10">
        <v>4.03</v>
      </c>
      <c r="N47" s="10" t="s">
        <v>105</v>
      </c>
      <c r="O47" s="10">
        <v>7019628812</v>
      </c>
      <c r="P47" s="11" t="s">
        <v>52</v>
      </c>
      <c r="Q47" s="12">
        <v>2016</v>
      </c>
    </row>
    <row r="48" spans="1:17" x14ac:dyDescent="0.3">
      <c r="A48" s="13">
        <v>890</v>
      </c>
      <c r="B48" s="14" t="s">
        <v>103</v>
      </c>
      <c r="C48" s="14" t="s">
        <v>33</v>
      </c>
      <c r="D48" s="14">
        <v>50</v>
      </c>
      <c r="E48" s="14" t="s">
        <v>41</v>
      </c>
      <c r="F48" s="14" t="s">
        <v>20</v>
      </c>
      <c r="G48" s="14" t="s">
        <v>34</v>
      </c>
      <c r="H48" s="14" t="s">
        <v>69</v>
      </c>
      <c r="I48" s="14" t="s">
        <v>36</v>
      </c>
      <c r="J48" s="14">
        <v>410891</v>
      </c>
      <c r="K48" s="14">
        <v>12</v>
      </c>
      <c r="L48" s="15">
        <v>42720</v>
      </c>
      <c r="M48" s="14">
        <v>1.75</v>
      </c>
      <c r="N48" s="14" t="s">
        <v>106</v>
      </c>
      <c r="O48" s="14">
        <v>9313167773</v>
      </c>
      <c r="P48" s="15" t="s">
        <v>100</v>
      </c>
      <c r="Q48" s="16">
        <v>2016</v>
      </c>
    </row>
    <row r="49" spans="1:17" x14ac:dyDescent="0.3">
      <c r="A49" s="9">
        <v>1344</v>
      </c>
      <c r="B49" s="10" t="s">
        <v>53</v>
      </c>
      <c r="C49" s="10" t="s">
        <v>65</v>
      </c>
      <c r="D49" s="10">
        <v>30</v>
      </c>
      <c r="E49" s="10" t="s">
        <v>41</v>
      </c>
      <c r="F49" s="10" t="s">
        <v>20</v>
      </c>
      <c r="G49" s="10" t="s">
        <v>55</v>
      </c>
      <c r="H49" s="10" t="s">
        <v>78</v>
      </c>
      <c r="I49" s="10" t="s">
        <v>23</v>
      </c>
      <c r="J49" s="10">
        <v>338275</v>
      </c>
      <c r="K49" s="10">
        <v>0</v>
      </c>
      <c r="L49" s="11">
        <v>42346</v>
      </c>
      <c r="M49" s="10">
        <v>4.67</v>
      </c>
      <c r="N49" s="10" t="s">
        <v>107</v>
      </c>
      <c r="O49" s="10">
        <v>8183759449</v>
      </c>
      <c r="P49" s="11" t="s">
        <v>100</v>
      </c>
      <c r="Q49" s="12">
        <v>2015</v>
      </c>
    </row>
    <row r="50" spans="1:17" x14ac:dyDescent="0.3">
      <c r="A50" s="13">
        <v>1896</v>
      </c>
      <c r="B50" s="14" t="s">
        <v>53</v>
      </c>
      <c r="C50" s="14" t="s">
        <v>33</v>
      </c>
      <c r="D50" s="14">
        <v>55</v>
      </c>
      <c r="E50" s="14" t="s">
        <v>19</v>
      </c>
      <c r="F50" s="14" t="s">
        <v>108</v>
      </c>
      <c r="G50" s="14" t="s">
        <v>34</v>
      </c>
      <c r="H50" s="14" t="s">
        <v>28</v>
      </c>
      <c r="I50" s="14" t="s">
        <v>36</v>
      </c>
      <c r="J50" s="14">
        <v>373996</v>
      </c>
      <c r="K50" s="14">
        <v>12</v>
      </c>
      <c r="L50" s="15">
        <v>45300</v>
      </c>
      <c r="M50" s="14">
        <v>1.48</v>
      </c>
      <c r="N50" s="14" t="s">
        <v>109</v>
      </c>
      <c r="O50" s="14">
        <v>7365762289</v>
      </c>
      <c r="P50" s="15" t="s">
        <v>83</v>
      </c>
      <c r="Q50" s="16">
        <v>2024</v>
      </c>
    </row>
    <row r="51" spans="1:17" x14ac:dyDescent="0.3">
      <c r="A51" s="9">
        <v>725</v>
      </c>
      <c r="B51" s="10" t="s">
        <v>44</v>
      </c>
      <c r="C51" s="10" t="s">
        <v>45</v>
      </c>
      <c r="D51" s="10">
        <v>30</v>
      </c>
      <c r="E51" s="10" t="s">
        <v>41</v>
      </c>
      <c r="F51" s="10" t="s">
        <v>108</v>
      </c>
      <c r="G51" s="10" t="s">
        <v>27</v>
      </c>
      <c r="H51" s="10" t="s">
        <v>35</v>
      </c>
      <c r="I51" s="10" t="s">
        <v>62</v>
      </c>
      <c r="J51" s="10">
        <v>309243</v>
      </c>
      <c r="K51" s="10">
        <v>7</v>
      </c>
      <c r="L51" s="11">
        <v>45337</v>
      </c>
      <c r="M51" s="10">
        <v>1.9</v>
      </c>
      <c r="N51" s="10" t="s">
        <v>110</v>
      </c>
      <c r="O51" s="10">
        <v>9343705053</v>
      </c>
      <c r="P51" s="11" t="s">
        <v>59</v>
      </c>
      <c r="Q51" s="12">
        <v>2024</v>
      </c>
    </row>
    <row r="52" spans="1:17" x14ac:dyDescent="0.3">
      <c r="A52" s="13">
        <v>1710</v>
      </c>
      <c r="B52" s="14" t="s">
        <v>17</v>
      </c>
      <c r="C52" s="14" t="s">
        <v>49</v>
      </c>
      <c r="D52" s="14">
        <v>56</v>
      </c>
      <c r="E52" s="14" t="s">
        <v>41</v>
      </c>
      <c r="F52" s="14" t="s">
        <v>108</v>
      </c>
      <c r="G52" s="14" t="s">
        <v>42</v>
      </c>
      <c r="H52" s="14" t="s">
        <v>69</v>
      </c>
      <c r="I52" s="14" t="s">
        <v>62</v>
      </c>
      <c r="J52" s="14">
        <v>487247</v>
      </c>
      <c r="K52" s="14">
        <v>5</v>
      </c>
      <c r="L52" s="15">
        <v>45353</v>
      </c>
      <c r="M52" s="14">
        <v>3.85</v>
      </c>
      <c r="N52" s="14" t="s">
        <v>111</v>
      </c>
      <c r="O52" s="14">
        <v>9414593257</v>
      </c>
      <c r="P52" s="15" t="s">
        <v>25</v>
      </c>
      <c r="Q52" s="16">
        <v>2024</v>
      </c>
    </row>
    <row r="53" spans="1:17" x14ac:dyDescent="0.3">
      <c r="A53" s="9">
        <v>1738</v>
      </c>
      <c r="B53" s="10" t="s">
        <v>32</v>
      </c>
      <c r="C53" s="10" t="s">
        <v>45</v>
      </c>
      <c r="D53" s="10">
        <v>28</v>
      </c>
      <c r="E53" s="10" t="s">
        <v>19</v>
      </c>
      <c r="F53" s="10" t="s">
        <v>108</v>
      </c>
      <c r="G53" s="10" t="s">
        <v>55</v>
      </c>
      <c r="H53" s="10" t="s">
        <v>28</v>
      </c>
      <c r="I53" s="10" t="s">
        <v>60</v>
      </c>
      <c r="J53" s="10">
        <v>363986</v>
      </c>
      <c r="K53" s="10">
        <v>19</v>
      </c>
      <c r="L53" s="11">
        <v>45358</v>
      </c>
      <c r="M53" s="10">
        <v>3.68</v>
      </c>
      <c r="N53" s="10" t="s">
        <v>112</v>
      </c>
      <c r="O53" s="10">
        <v>9095852094</v>
      </c>
      <c r="P53" s="11" t="s">
        <v>25</v>
      </c>
      <c r="Q53" s="12">
        <v>2024</v>
      </c>
    </row>
    <row r="54" spans="1:17" x14ac:dyDescent="0.3">
      <c r="A54" s="13">
        <v>528</v>
      </c>
      <c r="B54" s="14" t="s">
        <v>53</v>
      </c>
      <c r="C54" s="14" t="s">
        <v>92</v>
      </c>
      <c r="D54" s="14">
        <v>41</v>
      </c>
      <c r="E54" s="14" t="s">
        <v>19</v>
      </c>
      <c r="F54" s="14" t="s">
        <v>108</v>
      </c>
      <c r="G54" s="14" t="s">
        <v>27</v>
      </c>
      <c r="H54" s="14" t="s">
        <v>55</v>
      </c>
      <c r="I54" s="14" t="s">
        <v>62</v>
      </c>
      <c r="J54" s="14">
        <v>434806</v>
      </c>
      <c r="K54" s="14">
        <v>11</v>
      </c>
      <c r="L54" s="15">
        <v>45367</v>
      </c>
      <c r="M54" s="14">
        <v>3.98</v>
      </c>
      <c r="N54" s="14" t="s">
        <v>113</v>
      </c>
      <c r="O54" s="14">
        <v>9375784080</v>
      </c>
      <c r="P54" s="15" t="s">
        <v>25</v>
      </c>
      <c r="Q54" s="16">
        <v>2024</v>
      </c>
    </row>
    <row r="55" spans="1:17" x14ac:dyDescent="0.3">
      <c r="A55" s="9">
        <v>841</v>
      </c>
      <c r="B55" s="10" t="s">
        <v>17</v>
      </c>
      <c r="C55" s="10" t="s">
        <v>45</v>
      </c>
      <c r="D55" s="10">
        <v>27</v>
      </c>
      <c r="E55" s="10" t="s">
        <v>19</v>
      </c>
      <c r="F55" s="10" t="s">
        <v>108</v>
      </c>
      <c r="G55" s="10" t="s">
        <v>42</v>
      </c>
      <c r="H55" s="10" t="s">
        <v>28</v>
      </c>
      <c r="I55" s="10" t="s">
        <v>62</v>
      </c>
      <c r="J55" s="10">
        <v>305191</v>
      </c>
      <c r="K55" s="10">
        <v>10</v>
      </c>
      <c r="L55" s="11">
        <v>45424</v>
      </c>
      <c r="M55" s="10">
        <v>1.04</v>
      </c>
      <c r="N55" s="10" t="s">
        <v>114</v>
      </c>
      <c r="O55" s="10">
        <v>9016037776</v>
      </c>
      <c r="P55" s="11" t="s">
        <v>67</v>
      </c>
      <c r="Q55" s="12">
        <v>2024</v>
      </c>
    </row>
    <row r="56" spans="1:17" x14ac:dyDescent="0.3">
      <c r="A56" s="13">
        <v>1671</v>
      </c>
      <c r="B56" s="14" t="s">
        <v>17</v>
      </c>
      <c r="C56" s="14" t="s">
        <v>72</v>
      </c>
      <c r="D56" s="14">
        <v>40</v>
      </c>
      <c r="E56" s="14" t="s">
        <v>41</v>
      </c>
      <c r="F56" s="14" t="s">
        <v>108</v>
      </c>
      <c r="G56" s="14" t="s">
        <v>21</v>
      </c>
      <c r="H56" s="14" t="s">
        <v>69</v>
      </c>
      <c r="I56" s="14" t="s">
        <v>60</v>
      </c>
      <c r="J56" s="14">
        <v>366682</v>
      </c>
      <c r="K56" s="14">
        <v>10</v>
      </c>
      <c r="L56" s="15">
        <v>45610</v>
      </c>
      <c r="M56" s="14">
        <v>2.4300000000000002</v>
      </c>
      <c r="N56" s="14" t="s">
        <v>115</v>
      </c>
      <c r="O56" s="14">
        <v>8792173866</v>
      </c>
      <c r="P56" s="15" t="s">
        <v>57</v>
      </c>
      <c r="Q56" s="16">
        <v>2024</v>
      </c>
    </row>
    <row r="57" spans="1:17" x14ac:dyDescent="0.3">
      <c r="A57" s="9">
        <v>54</v>
      </c>
      <c r="B57" s="10" t="s">
        <v>68</v>
      </c>
      <c r="C57" s="10" t="s">
        <v>92</v>
      </c>
      <c r="D57" s="10">
        <v>35</v>
      </c>
      <c r="E57" s="10" t="s">
        <v>41</v>
      </c>
      <c r="F57" s="10" t="s">
        <v>108</v>
      </c>
      <c r="G57" s="10" t="s">
        <v>55</v>
      </c>
      <c r="H57" s="10" t="s">
        <v>28</v>
      </c>
      <c r="I57" s="10" t="s">
        <v>23</v>
      </c>
      <c r="J57" s="10">
        <v>445295</v>
      </c>
      <c r="K57" s="10">
        <v>9</v>
      </c>
      <c r="L57" s="11">
        <v>45632</v>
      </c>
      <c r="M57" s="10">
        <v>1.27</v>
      </c>
      <c r="N57" s="10" t="s">
        <v>116</v>
      </c>
      <c r="O57" s="10">
        <v>7509263295</v>
      </c>
      <c r="P57" s="11" t="s">
        <v>100</v>
      </c>
      <c r="Q57" s="12">
        <v>2024</v>
      </c>
    </row>
    <row r="58" spans="1:17" x14ac:dyDescent="0.3">
      <c r="A58" s="13">
        <v>1862</v>
      </c>
      <c r="B58" s="14" t="s">
        <v>85</v>
      </c>
      <c r="C58" s="14" t="s">
        <v>49</v>
      </c>
      <c r="D58" s="14">
        <v>32</v>
      </c>
      <c r="E58" s="14" t="s">
        <v>19</v>
      </c>
      <c r="F58" s="14" t="s">
        <v>108</v>
      </c>
      <c r="G58" s="14" t="s">
        <v>55</v>
      </c>
      <c r="H58" s="14" t="s">
        <v>35</v>
      </c>
      <c r="I58" s="14" t="s">
        <v>29</v>
      </c>
      <c r="J58" s="14">
        <v>327445</v>
      </c>
      <c r="K58" s="14">
        <v>18</v>
      </c>
      <c r="L58" s="15">
        <v>44950</v>
      </c>
      <c r="M58" s="14">
        <v>3.6</v>
      </c>
      <c r="N58" s="14" t="s">
        <v>117</v>
      </c>
      <c r="O58" s="14">
        <v>9358445172</v>
      </c>
      <c r="P58" s="15" t="s">
        <v>83</v>
      </c>
      <c r="Q58" s="16">
        <v>2023</v>
      </c>
    </row>
    <row r="59" spans="1:17" x14ac:dyDescent="0.3">
      <c r="A59" s="9">
        <v>994</v>
      </c>
      <c r="B59" s="10" t="s">
        <v>68</v>
      </c>
      <c r="C59" s="10" t="s">
        <v>33</v>
      </c>
      <c r="D59" s="10">
        <v>32</v>
      </c>
      <c r="E59" s="10" t="s">
        <v>41</v>
      </c>
      <c r="F59" s="10" t="s">
        <v>108</v>
      </c>
      <c r="G59" s="10" t="s">
        <v>27</v>
      </c>
      <c r="H59" s="10" t="s">
        <v>69</v>
      </c>
      <c r="I59" s="10" t="s">
        <v>29</v>
      </c>
      <c r="J59" s="10">
        <v>402481</v>
      </c>
      <c r="K59" s="10">
        <v>14</v>
      </c>
      <c r="L59" s="11">
        <v>45272</v>
      </c>
      <c r="M59" s="10">
        <v>4.66</v>
      </c>
      <c r="N59" s="10" t="s">
        <v>118</v>
      </c>
      <c r="O59" s="10">
        <v>7428081223</v>
      </c>
      <c r="P59" s="11" t="s">
        <v>100</v>
      </c>
      <c r="Q59" s="12">
        <v>2023</v>
      </c>
    </row>
    <row r="60" spans="1:17" x14ac:dyDescent="0.3">
      <c r="A60" s="13">
        <v>487</v>
      </c>
      <c r="B60" s="14" t="s">
        <v>85</v>
      </c>
      <c r="C60" s="14" t="s">
        <v>40</v>
      </c>
      <c r="D60" s="14">
        <v>31</v>
      </c>
      <c r="E60" s="14" t="s">
        <v>41</v>
      </c>
      <c r="F60" s="14" t="s">
        <v>108</v>
      </c>
      <c r="G60" s="14" t="s">
        <v>21</v>
      </c>
      <c r="H60" s="14" t="s">
        <v>55</v>
      </c>
      <c r="I60" s="14" t="s">
        <v>60</v>
      </c>
      <c r="J60" s="14">
        <v>385857</v>
      </c>
      <c r="K60" s="14">
        <v>16</v>
      </c>
      <c r="L60" s="15">
        <v>44609</v>
      </c>
      <c r="M60" s="14">
        <v>2.83</v>
      </c>
      <c r="N60" s="14" t="s">
        <v>119</v>
      </c>
      <c r="O60" s="14">
        <v>9591406519</v>
      </c>
      <c r="P60" s="15" t="s">
        <v>59</v>
      </c>
      <c r="Q60" s="16">
        <v>2022</v>
      </c>
    </row>
    <row r="61" spans="1:17" x14ac:dyDescent="0.3">
      <c r="A61" s="9">
        <v>1104</v>
      </c>
      <c r="B61" s="10" t="s">
        <v>68</v>
      </c>
      <c r="C61" s="10" t="s">
        <v>72</v>
      </c>
      <c r="D61" s="10">
        <v>51</v>
      </c>
      <c r="E61" s="10" t="s">
        <v>41</v>
      </c>
      <c r="F61" s="10" t="s">
        <v>108</v>
      </c>
      <c r="G61" s="10" t="s">
        <v>55</v>
      </c>
      <c r="H61" s="10" t="s">
        <v>22</v>
      </c>
      <c r="I61" s="10" t="s">
        <v>50</v>
      </c>
      <c r="J61" s="10">
        <v>464994</v>
      </c>
      <c r="K61" s="10">
        <v>18</v>
      </c>
      <c r="L61" s="11">
        <v>44626</v>
      </c>
      <c r="M61" s="10">
        <v>3.34</v>
      </c>
      <c r="N61" s="10" t="s">
        <v>120</v>
      </c>
      <c r="O61" s="10">
        <v>8808030117</v>
      </c>
      <c r="P61" s="11" t="s">
        <v>25</v>
      </c>
      <c r="Q61" s="12">
        <v>2022</v>
      </c>
    </row>
    <row r="62" spans="1:17" x14ac:dyDescent="0.3">
      <c r="A62" s="13">
        <v>1586</v>
      </c>
      <c r="B62" s="14" t="s">
        <v>17</v>
      </c>
      <c r="C62" s="14" t="s">
        <v>92</v>
      </c>
      <c r="D62" s="14">
        <v>58</v>
      </c>
      <c r="E62" s="14" t="s">
        <v>19</v>
      </c>
      <c r="F62" s="14" t="s">
        <v>108</v>
      </c>
      <c r="G62" s="14" t="s">
        <v>27</v>
      </c>
      <c r="H62" s="14" t="s">
        <v>55</v>
      </c>
      <c r="I62" s="14" t="s">
        <v>62</v>
      </c>
      <c r="J62" s="14">
        <v>338541</v>
      </c>
      <c r="K62" s="14">
        <v>8</v>
      </c>
      <c r="L62" s="15">
        <v>44662</v>
      </c>
      <c r="M62" s="14">
        <v>1.88</v>
      </c>
      <c r="N62" s="14" t="s">
        <v>121</v>
      </c>
      <c r="O62" s="14">
        <v>8463165038</v>
      </c>
      <c r="P62" s="15" t="s">
        <v>31</v>
      </c>
      <c r="Q62" s="16">
        <v>2022</v>
      </c>
    </row>
    <row r="63" spans="1:17" x14ac:dyDescent="0.3">
      <c r="A63" s="9">
        <v>1951</v>
      </c>
      <c r="B63" s="10" t="s">
        <v>53</v>
      </c>
      <c r="C63" s="10" t="s">
        <v>54</v>
      </c>
      <c r="D63" s="10">
        <v>34</v>
      </c>
      <c r="E63" s="10" t="s">
        <v>41</v>
      </c>
      <c r="F63" s="10" t="s">
        <v>108</v>
      </c>
      <c r="G63" s="10" t="s">
        <v>34</v>
      </c>
      <c r="H63" s="10" t="s">
        <v>35</v>
      </c>
      <c r="I63" s="10" t="s">
        <v>29</v>
      </c>
      <c r="J63" s="10">
        <v>405720</v>
      </c>
      <c r="K63" s="10">
        <v>11</v>
      </c>
      <c r="L63" s="11">
        <v>44856</v>
      </c>
      <c r="M63" s="10">
        <v>1.41</v>
      </c>
      <c r="N63" s="10" t="s">
        <v>122</v>
      </c>
      <c r="O63" s="10">
        <v>9730906213</v>
      </c>
      <c r="P63" s="11" t="s">
        <v>75</v>
      </c>
      <c r="Q63" s="12">
        <v>2022</v>
      </c>
    </row>
    <row r="64" spans="1:17" x14ac:dyDescent="0.3">
      <c r="A64" s="13">
        <v>458</v>
      </c>
      <c r="B64" s="14" t="s">
        <v>32</v>
      </c>
      <c r="C64" s="14" t="s">
        <v>49</v>
      </c>
      <c r="D64" s="14">
        <v>36</v>
      </c>
      <c r="E64" s="14" t="s">
        <v>41</v>
      </c>
      <c r="F64" s="14" t="s">
        <v>108</v>
      </c>
      <c r="G64" s="14" t="s">
        <v>42</v>
      </c>
      <c r="H64" s="14" t="s">
        <v>55</v>
      </c>
      <c r="I64" s="14" t="s">
        <v>62</v>
      </c>
      <c r="J64" s="14">
        <v>322560</v>
      </c>
      <c r="K64" s="14">
        <v>6</v>
      </c>
      <c r="L64" s="15">
        <v>44217</v>
      </c>
      <c r="M64" s="14">
        <v>2.12</v>
      </c>
      <c r="N64" s="14" t="s">
        <v>123</v>
      </c>
      <c r="O64" s="14">
        <v>7392365650</v>
      </c>
      <c r="P64" s="15" t="s">
        <v>83</v>
      </c>
      <c r="Q64" s="16">
        <v>2021</v>
      </c>
    </row>
    <row r="65" spans="1:17" x14ac:dyDescent="0.3">
      <c r="A65" s="9">
        <v>1980</v>
      </c>
      <c r="B65" s="10" t="s">
        <v>103</v>
      </c>
      <c r="C65" s="10" t="s">
        <v>45</v>
      </c>
      <c r="D65" s="10">
        <v>50</v>
      </c>
      <c r="E65" s="10" t="s">
        <v>19</v>
      </c>
      <c r="F65" s="10" t="s">
        <v>108</v>
      </c>
      <c r="G65" s="10" t="s">
        <v>34</v>
      </c>
      <c r="H65" s="10" t="s">
        <v>55</v>
      </c>
      <c r="I65" s="10" t="s">
        <v>36</v>
      </c>
      <c r="J65" s="10">
        <v>377299</v>
      </c>
      <c r="K65" s="10">
        <v>2</v>
      </c>
      <c r="L65" s="11">
        <v>44290</v>
      </c>
      <c r="M65" s="10">
        <v>2.99</v>
      </c>
      <c r="N65" s="10" t="s">
        <v>124</v>
      </c>
      <c r="O65" s="10">
        <v>9823435630</v>
      </c>
      <c r="P65" s="11" t="s">
        <v>31</v>
      </c>
      <c r="Q65" s="12">
        <v>2021</v>
      </c>
    </row>
    <row r="66" spans="1:17" x14ac:dyDescent="0.3">
      <c r="A66" s="13">
        <v>395</v>
      </c>
      <c r="B66" s="14" t="s">
        <v>39</v>
      </c>
      <c r="C66" s="14" t="s">
        <v>40</v>
      </c>
      <c r="D66" s="14">
        <v>26</v>
      </c>
      <c r="E66" s="14" t="s">
        <v>41</v>
      </c>
      <c r="F66" s="14" t="s">
        <v>108</v>
      </c>
      <c r="G66" s="14" t="s">
        <v>27</v>
      </c>
      <c r="H66" s="14" t="s">
        <v>22</v>
      </c>
      <c r="I66" s="14" t="s">
        <v>62</v>
      </c>
      <c r="J66" s="14">
        <v>313502</v>
      </c>
      <c r="K66" s="14">
        <v>2</v>
      </c>
      <c r="L66" s="15">
        <v>43882</v>
      </c>
      <c r="M66" s="14">
        <v>3.68</v>
      </c>
      <c r="N66" s="14" t="s">
        <v>125</v>
      </c>
      <c r="O66" s="14">
        <v>8207666359</v>
      </c>
      <c r="P66" s="15" t="s">
        <v>59</v>
      </c>
      <c r="Q66" s="16">
        <v>2020</v>
      </c>
    </row>
    <row r="67" spans="1:17" x14ac:dyDescent="0.3">
      <c r="A67" s="9">
        <v>1913</v>
      </c>
      <c r="B67" s="10" t="s">
        <v>53</v>
      </c>
      <c r="C67" s="10" t="s">
        <v>81</v>
      </c>
      <c r="D67" s="10">
        <v>48</v>
      </c>
      <c r="E67" s="10" t="s">
        <v>19</v>
      </c>
      <c r="F67" s="10" t="s">
        <v>108</v>
      </c>
      <c r="G67" s="10" t="s">
        <v>21</v>
      </c>
      <c r="H67" s="10" t="s">
        <v>28</v>
      </c>
      <c r="I67" s="10" t="s">
        <v>36</v>
      </c>
      <c r="J67" s="10">
        <v>450763</v>
      </c>
      <c r="K67" s="10">
        <v>0</v>
      </c>
      <c r="L67" s="11">
        <v>44167</v>
      </c>
      <c r="M67" s="10">
        <v>1.22</v>
      </c>
      <c r="N67" s="10" t="s">
        <v>126</v>
      </c>
      <c r="O67" s="10">
        <v>9581619091</v>
      </c>
      <c r="P67" s="11" t="s">
        <v>100</v>
      </c>
      <c r="Q67" s="12">
        <v>2020</v>
      </c>
    </row>
    <row r="68" spans="1:17" x14ac:dyDescent="0.3">
      <c r="A68" s="13">
        <v>814</v>
      </c>
      <c r="B68" s="14" t="s">
        <v>26</v>
      </c>
      <c r="C68" s="14" t="s">
        <v>49</v>
      </c>
      <c r="D68" s="14">
        <v>44</v>
      </c>
      <c r="E68" s="14" t="s">
        <v>19</v>
      </c>
      <c r="F68" s="14" t="s">
        <v>108</v>
      </c>
      <c r="G68" s="14" t="s">
        <v>21</v>
      </c>
      <c r="H68" s="14" t="s">
        <v>78</v>
      </c>
      <c r="I68" s="14" t="s">
        <v>36</v>
      </c>
      <c r="J68" s="14">
        <v>479598</v>
      </c>
      <c r="K68" s="14">
        <v>3</v>
      </c>
      <c r="L68" s="15">
        <v>44167</v>
      </c>
      <c r="M68" s="14">
        <v>4.7699999999999996</v>
      </c>
      <c r="N68" s="14" t="s">
        <v>127</v>
      </c>
      <c r="O68" s="14">
        <v>8634843969</v>
      </c>
      <c r="P68" s="15" t="s">
        <v>100</v>
      </c>
      <c r="Q68" s="16">
        <v>2020</v>
      </c>
    </row>
    <row r="69" spans="1:17" x14ac:dyDescent="0.3">
      <c r="A69" s="9">
        <v>1809</v>
      </c>
      <c r="B69" s="10" t="s">
        <v>48</v>
      </c>
      <c r="C69" s="10" t="s">
        <v>18</v>
      </c>
      <c r="D69" s="10">
        <v>36</v>
      </c>
      <c r="E69" s="10" t="s">
        <v>41</v>
      </c>
      <c r="F69" s="10" t="s">
        <v>108</v>
      </c>
      <c r="G69" s="10" t="s">
        <v>34</v>
      </c>
      <c r="H69" s="10" t="s">
        <v>22</v>
      </c>
      <c r="I69" s="10" t="s">
        <v>62</v>
      </c>
      <c r="J69" s="10">
        <v>485534</v>
      </c>
      <c r="K69" s="10">
        <v>6</v>
      </c>
      <c r="L69" s="11">
        <v>44187</v>
      </c>
      <c r="M69" s="10">
        <v>4.67</v>
      </c>
      <c r="N69" s="10" t="s">
        <v>128</v>
      </c>
      <c r="O69" s="10">
        <v>8827233522</v>
      </c>
      <c r="P69" s="11" t="s">
        <v>100</v>
      </c>
      <c r="Q69" s="12">
        <v>2020</v>
      </c>
    </row>
    <row r="70" spans="1:17" x14ac:dyDescent="0.3">
      <c r="A70" s="13">
        <v>1827</v>
      </c>
      <c r="B70" s="14" t="s">
        <v>44</v>
      </c>
      <c r="C70" s="14" t="s">
        <v>72</v>
      </c>
      <c r="D70" s="14">
        <v>34</v>
      </c>
      <c r="E70" s="14" t="s">
        <v>41</v>
      </c>
      <c r="F70" s="14" t="s">
        <v>108</v>
      </c>
      <c r="G70" s="14" t="s">
        <v>34</v>
      </c>
      <c r="H70" s="14" t="s">
        <v>35</v>
      </c>
      <c r="I70" s="14" t="s">
        <v>29</v>
      </c>
      <c r="J70" s="14">
        <v>481287</v>
      </c>
      <c r="K70" s="14">
        <v>13</v>
      </c>
      <c r="L70" s="15">
        <v>43572</v>
      </c>
      <c r="M70" s="14">
        <v>4.18</v>
      </c>
      <c r="N70" s="14" t="s">
        <v>129</v>
      </c>
      <c r="O70" s="14">
        <v>8662909768</v>
      </c>
      <c r="P70" s="15" t="s">
        <v>31</v>
      </c>
      <c r="Q70" s="16">
        <v>2019</v>
      </c>
    </row>
    <row r="71" spans="1:17" x14ac:dyDescent="0.3">
      <c r="A71" s="9">
        <v>1419</v>
      </c>
      <c r="B71" s="10" t="s">
        <v>103</v>
      </c>
      <c r="C71" s="10" t="s">
        <v>45</v>
      </c>
      <c r="D71" s="10">
        <v>35</v>
      </c>
      <c r="E71" s="10" t="s">
        <v>41</v>
      </c>
      <c r="F71" s="10" t="s">
        <v>108</v>
      </c>
      <c r="G71" s="10" t="s">
        <v>27</v>
      </c>
      <c r="H71" s="10" t="s">
        <v>28</v>
      </c>
      <c r="I71" s="10" t="s">
        <v>62</v>
      </c>
      <c r="J71" s="10">
        <v>359836</v>
      </c>
      <c r="K71" s="10">
        <v>8</v>
      </c>
      <c r="L71" s="11">
        <v>43601</v>
      </c>
      <c r="M71" s="10">
        <v>2.21</v>
      </c>
      <c r="N71" s="10" t="s">
        <v>130</v>
      </c>
      <c r="O71" s="10">
        <v>9596581253</v>
      </c>
      <c r="P71" s="11" t="s">
        <v>67</v>
      </c>
      <c r="Q71" s="12">
        <v>2019</v>
      </c>
    </row>
    <row r="72" spans="1:17" x14ac:dyDescent="0.3">
      <c r="A72" s="13">
        <v>1485</v>
      </c>
      <c r="B72" s="14" t="s">
        <v>39</v>
      </c>
      <c r="C72" s="14" t="s">
        <v>40</v>
      </c>
      <c r="D72" s="14">
        <v>29</v>
      </c>
      <c r="E72" s="14" t="s">
        <v>19</v>
      </c>
      <c r="F72" s="14" t="s">
        <v>108</v>
      </c>
      <c r="G72" s="14" t="s">
        <v>34</v>
      </c>
      <c r="H72" s="14" t="s">
        <v>78</v>
      </c>
      <c r="I72" s="14" t="s">
        <v>23</v>
      </c>
      <c r="J72" s="14">
        <v>431392</v>
      </c>
      <c r="K72" s="14">
        <v>19</v>
      </c>
      <c r="L72" s="15">
        <v>43623</v>
      </c>
      <c r="M72" s="14">
        <v>1.78</v>
      </c>
      <c r="N72" s="14" t="s">
        <v>131</v>
      </c>
      <c r="O72" s="14">
        <v>7299283272</v>
      </c>
      <c r="P72" s="15" t="s">
        <v>90</v>
      </c>
      <c r="Q72" s="16">
        <v>2019</v>
      </c>
    </row>
    <row r="73" spans="1:17" x14ac:dyDescent="0.3">
      <c r="A73" s="9">
        <v>593</v>
      </c>
      <c r="B73" s="10" t="s">
        <v>17</v>
      </c>
      <c r="C73" s="10" t="s">
        <v>72</v>
      </c>
      <c r="D73" s="10">
        <v>32</v>
      </c>
      <c r="E73" s="10" t="s">
        <v>41</v>
      </c>
      <c r="F73" s="10" t="s">
        <v>108</v>
      </c>
      <c r="G73" s="10" t="s">
        <v>34</v>
      </c>
      <c r="H73" s="10" t="s">
        <v>22</v>
      </c>
      <c r="I73" s="10" t="s">
        <v>29</v>
      </c>
      <c r="J73" s="10">
        <v>495482</v>
      </c>
      <c r="K73" s="10">
        <v>5</v>
      </c>
      <c r="L73" s="11">
        <v>43660</v>
      </c>
      <c r="M73" s="10">
        <v>3.82</v>
      </c>
      <c r="N73" s="10" t="s">
        <v>132</v>
      </c>
      <c r="O73" s="10">
        <v>8561950891</v>
      </c>
      <c r="P73" s="11" t="s">
        <v>38</v>
      </c>
      <c r="Q73" s="12">
        <v>2019</v>
      </c>
    </row>
    <row r="74" spans="1:17" x14ac:dyDescent="0.3">
      <c r="A74" s="13">
        <v>1291</v>
      </c>
      <c r="B74" s="14" t="s">
        <v>32</v>
      </c>
      <c r="C74" s="14" t="s">
        <v>33</v>
      </c>
      <c r="D74" s="14">
        <v>34</v>
      </c>
      <c r="E74" s="14" t="s">
        <v>41</v>
      </c>
      <c r="F74" s="14" t="s">
        <v>108</v>
      </c>
      <c r="G74" s="14" t="s">
        <v>42</v>
      </c>
      <c r="H74" s="14" t="s">
        <v>78</v>
      </c>
      <c r="I74" s="14" t="s">
        <v>36</v>
      </c>
      <c r="J74" s="14">
        <v>454143</v>
      </c>
      <c r="K74" s="14">
        <v>13</v>
      </c>
      <c r="L74" s="15">
        <v>43813</v>
      </c>
      <c r="M74" s="14">
        <v>3.74</v>
      </c>
      <c r="N74" s="14" t="s">
        <v>133</v>
      </c>
      <c r="O74" s="14">
        <v>9707401353</v>
      </c>
      <c r="P74" s="15" t="s">
        <v>100</v>
      </c>
      <c r="Q74" s="16">
        <v>2019</v>
      </c>
    </row>
    <row r="75" spans="1:17" x14ac:dyDescent="0.3">
      <c r="A75" s="9">
        <v>996</v>
      </c>
      <c r="B75" s="10" t="s">
        <v>53</v>
      </c>
      <c r="C75" s="10" t="s">
        <v>72</v>
      </c>
      <c r="D75" s="10">
        <v>35</v>
      </c>
      <c r="E75" s="10" t="s">
        <v>41</v>
      </c>
      <c r="F75" s="10" t="s">
        <v>108</v>
      </c>
      <c r="G75" s="10" t="s">
        <v>34</v>
      </c>
      <c r="H75" s="10" t="s">
        <v>28</v>
      </c>
      <c r="I75" s="10" t="s">
        <v>60</v>
      </c>
      <c r="J75" s="10">
        <v>470774</v>
      </c>
      <c r="K75" s="10">
        <v>12</v>
      </c>
      <c r="L75" s="11">
        <v>43130</v>
      </c>
      <c r="M75" s="10">
        <v>4.12</v>
      </c>
      <c r="N75" s="10" t="s">
        <v>134</v>
      </c>
      <c r="O75" s="10">
        <v>9989230532</v>
      </c>
      <c r="P75" s="11" t="s">
        <v>83</v>
      </c>
      <c r="Q75" s="12">
        <v>2018</v>
      </c>
    </row>
    <row r="76" spans="1:17" x14ac:dyDescent="0.3">
      <c r="A76" s="13">
        <v>174</v>
      </c>
      <c r="B76" s="14" t="s">
        <v>85</v>
      </c>
      <c r="C76" s="14" t="s">
        <v>65</v>
      </c>
      <c r="D76" s="14">
        <v>52</v>
      </c>
      <c r="E76" s="14" t="s">
        <v>41</v>
      </c>
      <c r="F76" s="14" t="s">
        <v>108</v>
      </c>
      <c r="G76" s="14" t="s">
        <v>34</v>
      </c>
      <c r="H76" s="14" t="s">
        <v>78</v>
      </c>
      <c r="I76" s="14" t="s">
        <v>29</v>
      </c>
      <c r="J76" s="14">
        <v>488885</v>
      </c>
      <c r="K76" s="14">
        <v>18</v>
      </c>
      <c r="L76" s="15">
        <v>43161</v>
      </c>
      <c r="M76" s="14">
        <v>4.88</v>
      </c>
      <c r="N76" s="14" t="s">
        <v>135</v>
      </c>
      <c r="O76" s="14">
        <v>8013669139</v>
      </c>
      <c r="P76" s="15" t="s">
        <v>25</v>
      </c>
      <c r="Q76" s="16">
        <v>2018</v>
      </c>
    </row>
    <row r="77" spans="1:17" x14ac:dyDescent="0.3">
      <c r="A77" s="9">
        <v>1706</v>
      </c>
      <c r="B77" s="10" t="s">
        <v>103</v>
      </c>
      <c r="C77" s="10" t="s">
        <v>18</v>
      </c>
      <c r="D77" s="10">
        <v>52</v>
      </c>
      <c r="E77" s="10" t="s">
        <v>19</v>
      </c>
      <c r="F77" s="10" t="s">
        <v>108</v>
      </c>
      <c r="G77" s="10" t="s">
        <v>27</v>
      </c>
      <c r="H77" s="10" t="s">
        <v>22</v>
      </c>
      <c r="I77" s="10" t="s">
        <v>23</v>
      </c>
      <c r="J77" s="10">
        <v>489911</v>
      </c>
      <c r="K77" s="10">
        <v>17</v>
      </c>
      <c r="L77" s="11">
        <v>43208</v>
      </c>
      <c r="M77" s="10">
        <v>1.05</v>
      </c>
      <c r="N77" s="10" t="s">
        <v>136</v>
      </c>
      <c r="O77" s="10">
        <v>7991817081</v>
      </c>
      <c r="P77" s="11" t="s">
        <v>31</v>
      </c>
      <c r="Q77" s="12">
        <v>2018</v>
      </c>
    </row>
    <row r="78" spans="1:17" x14ac:dyDescent="0.3">
      <c r="A78" s="13">
        <v>1257</v>
      </c>
      <c r="B78" s="14" t="s">
        <v>44</v>
      </c>
      <c r="C78" s="14" t="s">
        <v>72</v>
      </c>
      <c r="D78" s="14">
        <v>56</v>
      </c>
      <c r="E78" s="14" t="s">
        <v>19</v>
      </c>
      <c r="F78" s="14" t="s">
        <v>108</v>
      </c>
      <c r="G78" s="14" t="s">
        <v>34</v>
      </c>
      <c r="H78" s="14" t="s">
        <v>28</v>
      </c>
      <c r="I78" s="14" t="s">
        <v>36</v>
      </c>
      <c r="J78" s="14">
        <v>453777</v>
      </c>
      <c r="K78" s="14">
        <v>10</v>
      </c>
      <c r="L78" s="15">
        <v>43373</v>
      </c>
      <c r="M78" s="14">
        <v>2.13</v>
      </c>
      <c r="N78" s="14" t="s">
        <v>137</v>
      </c>
      <c r="O78" s="14">
        <v>7074530871</v>
      </c>
      <c r="P78" s="15" t="s">
        <v>52</v>
      </c>
      <c r="Q78" s="16">
        <v>2018</v>
      </c>
    </row>
    <row r="79" spans="1:17" x14ac:dyDescent="0.3">
      <c r="A79" s="9">
        <v>1516</v>
      </c>
      <c r="B79" s="10" t="s">
        <v>17</v>
      </c>
      <c r="C79" s="10" t="s">
        <v>40</v>
      </c>
      <c r="D79" s="10">
        <v>46</v>
      </c>
      <c r="E79" s="10" t="s">
        <v>41</v>
      </c>
      <c r="F79" s="10" t="s">
        <v>108</v>
      </c>
      <c r="G79" s="10" t="s">
        <v>27</v>
      </c>
      <c r="H79" s="10" t="s">
        <v>28</v>
      </c>
      <c r="I79" s="10" t="s">
        <v>50</v>
      </c>
      <c r="J79" s="10">
        <v>420321</v>
      </c>
      <c r="K79" s="10">
        <v>11</v>
      </c>
      <c r="L79" s="11">
        <v>42826</v>
      </c>
      <c r="M79" s="10">
        <v>3.52</v>
      </c>
      <c r="N79" s="10" t="s">
        <v>138</v>
      </c>
      <c r="O79" s="10">
        <v>9297549344</v>
      </c>
      <c r="P79" s="11" t="s">
        <v>31</v>
      </c>
      <c r="Q79" s="12">
        <v>2017</v>
      </c>
    </row>
    <row r="80" spans="1:17" x14ac:dyDescent="0.3">
      <c r="A80" s="13">
        <v>830</v>
      </c>
      <c r="B80" s="14" t="s">
        <v>44</v>
      </c>
      <c r="C80" s="14" t="s">
        <v>72</v>
      </c>
      <c r="D80" s="14">
        <v>21</v>
      </c>
      <c r="E80" s="14" t="s">
        <v>41</v>
      </c>
      <c r="F80" s="14" t="s">
        <v>108</v>
      </c>
      <c r="G80" s="14" t="s">
        <v>55</v>
      </c>
      <c r="H80" s="14" t="s">
        <v>55</v>
      </c>
      <c r="I80" s="14" t="s">
        <v>36</v>
      </c>
      <c r="J80" s="14">
        <v>354391</v>
      </c>
      <c r="K80" s="14">
        <v>17</v>
      </c>
      <c r="L80" s="15">
        <v>42451</v>
      </c>
      <c r="M80" s="14">
        <v>2.3199999999999998</v>
      </c>
      <c r="N80" s="14" t="s">
        <v>139</v>
      </c>
      <c r="O80" s="14">
        <v>7744834586</v>
      </c>
      <c r="P80" s="15" t="s">
        <v>25</v>
      </c>
      <c r="Q80" s="16">
        <v>2016</v>
      </c>
    </row>
    <row r="81" spans="1:17" x14ac:dyDescent="0.3">
      <c r="A81" s="9">
        <v>1726</v>
      </c>
      <c r="B81" s="10" t="s">
        <v>103</v>
      </c>
      <c r="C81" s="10" t="s">
        <v>40</v>
      </c>
      <c r="D81" s="10">
        <v>28</v>
      </c>
      <c r="E81" s="10" t="s">
        <v>41</v>
      </c>
      <c r="F81" s="10" t="s">
        <v>108</v>
      </c>
      <c r="G81" s="10" t="s">
        <v>27</v>
      </c>
      <c r="H81" s="10" t="s">
        <v>35</v>
      </c>
      <c r="I81" s="10" t="s">
        <v>23</v>
      </c>
      <c r="J81" s="10">
        <v>405282</v>
      </c>
      <c r="K81" s="10">
        <v>9</v>
      </c>
      <c r="L81" s="11">
        <v>42528</v>
      </c>
      <c r="M81" s="10">
        <v>2.71</v>
      </c>
      <c r="N81" s="10" t="s">
        <v>140</v>
      </c>
      <c r="O81" s="10">
        <v>8688561458</v>
      </c>
      <c r="P81" s="11" t="s">
        <v>90</v>
      </c>
      <c r="Q81" s="12">
        <v>2016</v>
      </c>
    </row>
    <row r="82" spans="1:17" x14ac:dyDescent="0.3">
      <c r="A82" s="13">
        <v>522</v>
      </c>
      <c r="B82" s="14" t="s">
        <v>17</v>
      </c>
      <c r="C82" s="14" t="s">
        <v>33</v>
      </c>
      <c r="D82" s="14">
        <v>52</v>
      </c>
      <c r="E82" s="14" t="s">
        <v>41</v>
      </c>
      <c r="F82" s="14" t="s">
        <v>108</v>
      </c>
      <c r="G82" s="14" t="s">
        <v>42</v>
      </c>
      <c r="H82" s="14" t="s">
        <v>69</v>
      </c>
      <c r="I82" s="14" t="s">
        <v>62</v>
      </c>
      <c r="J82" s="14">
        <v>331240</v>
      </c>
      <c r="K82" s="14">
        <v>9</v>
      </c>
      <c r="L82" s="15">
        <v>42697</v>
      </c>
      <c r="M82" s="14">
        <v>4.6900000000000004</v>
      </c>
      <c r="N82" s="14" t="s">
        <v>141</v>
      </c>
      <c r="O82" s="14">
        <v>8267111152</v>
      </c>
      <c r="P82" s="15" t="s">
        <v>57</v>
      </c>
      <c r="Q82" s="16">
        <v>2016</v>
      </c>
    </row>
    <row r="83" spans="1:17" x14ac:dyDescent="0.3">
      <c r="A83" s="9">
        <v>1068</v>
      </c>
      <c r="B83" s="10" t="s">
        <v>48</v>
      </c>
      <c r="C83" s="10" t="s">
        <v>18</v>
      </c>
      <c r="D83" s="10">
        <v>51</v>
      </c>
      <c r="E83" s="10" t="s">
        <v>19</v>
      </c>
      <c r="F83" s="10" t="s">
        <v>108</v>
      </c>
      <c r="G83" s="10" t="s">
        <v>21</v>
      </c>
      <c r="H83" s="10" t="s">
        <v>35</v>
      </c>
      <c r="I83" s="10" t="s">
        <v>60</v>
      </c>
      <c r="J83" s="10">
        <v>482492</v>
      </c>
      <c r="K83" s="10">
        <v>2</v>
      </c>
      <c r="L83" s="11">
        <v>42030</v>
      </c>
      <c r="M83" s="10">
        <v>4.76</v>
      </c>
      <c r="N83" s="10" t="s">
        <v>142</v>
      </c>
      <c r="O83" s="10">
        <v>8081475077</v>
      </c>
      <c r="P83" s="11" t="s">
        <v>83</v>
      </c>
      <c r="Q83" s="12">
        <v>2015</v>
      </c>
    </row>
    <row r="84" spans="1:17" x14ac:dyDescent="0.3">
      <c r="A84" s="13">
        <v>97</v>
      </c>
      <c r="B84" s="14" t="s">
        <v>53</v>
      </c>
      <c r="C84" s="14" t="s">
        <v>65</v>
      </c>
      <c r="D84" s="14">
        <v>37</v>
      </c>
      <c r="E84" s="14" t="s">
        <v>19</v>
      </c>
      <c r="F84" s="14" t="s">
        <v>108</v>
      </c>
      <c r="G84" s="14" t="s">
        <v>34</v>
      </c>
      <c r="H84" s="14" t="s">
        <v>22</v>
      </c>
      <c r="I84" s="14" t="s">
        <v>23</v>
      </c>
      <c r="J84" s="14">
        <v>498580</v>
      </c>
      <c r="K84" s="14">
        <v>5</v>
      </c>
      <c r="L84" s="15">
        <v>42039</v>
      </c>
      <c r="M84" s="14">
        <v>1.8</v>
      </c>
      <c r="N84" s="14" t="s">
        <v>143</v>
      </c>
      <c r="O84" s="14">
        <v>9818864356</v>
      </c>
      <c r="P84" s="15" t="s">
        <v>59</v>
      </c>
      <c r="Q84" s="16">
        <v>2015</v>
      </c>
    </row>
    <row r="85" spans="1:17" x14ac:dyDescent="0.3">
      <c r="A85" s="9">
        <v>21</v>
      </c>
      <c r="B85" s="10" t="s">
        <v>32</v>
      </c>
      <c r="C85" s="10" t="s">
        <v>45</v>
      </c>
      <c r="D85" s="10">
        <v>59</v>
      </c>
      <c r="E85" s="10" t="s">
        <v>19</v>
      </c>
      <c r="F85" s="10" t="s">
        <v>108</v>
      </c>
      <c r="G85" s="10" t="s">
        <v>55</v>
      </c>
      <c r="H85" s="10" t="s">
        <v>69</v>
      </c>
      <c r="I85" s="10" t="s">
        <v>60</v>
      </c>
      <c r="J85" s="10">
        <v>443417</v>
      </c>
      <c r="K85" s="10">
        <v>13</v>
      </c>
      <c r="L85" s="11">
        <v>42072</v>
      </c>
      <c r="M85" s="10">
        <v>3.57</v>
      </c>
      <c r="N85" s="10" t="s">
        <v>144</v>
      </c>
      <c r="O85" s="10">
        <v>8183487088</v>
      </c>
      <c r="P85" s="11" t="s">
        <v>25</v>
      </c>
      <c r="Q85" s="12">
        <v>2015</v>
      </c>
    </row>
    <row r="86" spans="1:17" x14ac:dyDescent="0.3">
      <c r="A86" s="13">
        <v>1122</v>
      </c>
      <c r="B86" s="14" t="s">
        <v>17</v>
      </c>
      <c r="C86" s="14" t="s">
        <v>45</v>
      </c>
      <c r="D86" s="14">
        <v>25</v>
      </c>
      <c r="E86" s="14" t="s">
        <v>19</v>
      </c>
      <c r="F86" s="14" t="s">
        <v>108</v>
      </c>
      <c r="G86" s="14" t="s">
        <v>21</v>
      </c>
      <c r="H86" s="14" t="s">
        <v>22</v>
      </c>
      <c r="I86" s="14" t="s">
        <v>62</v>
      </c>
      <c r="J86" s="14">
        <v>331298</v>
      </c>
      <c r="K86" s="14">
        <v>9</v>
      </c>
      <c r="L86" s="15">
        <v>42265</v>
      </c>
      <c r="M86" s="14">
        <v>4.68</v>
      </c>
      <c r="N86" s="14" t="s">
        <v>145</v>
      </c>
      <c r="O86" s="14">
        <v>7729927958</v>
      </c>
      <c r="P86" s="15" t="s">
        <v>52</v>
      </c>
      <c r="Q86" s="16">
        <v>2015</v>
      </c>
    </row>
    <row r="87" spans="1:17" x14ac:dyDescent="0.3">
      <c r="A87" s="9">
        <v>138</v>
      </c>
      <c r="B87" s="10" t="s">
        <v>68</v>
      </c>
      <c r="C87" s="10" t="s">
        <v>81</v>
      </c>
      <c r="D87" s="10">
        <v>54</v>
      </c>
      <c r="E87" s="10" t="s">
        <v>19</v>
      </c>
      <c r="F87" s="10" t="s">
        <v>108</v>
      </c>
      <c r="G87" s="10" t="s">
        <v>21</v>
      </c>
      <c r="H87" s="10" t="s">
        <v>55</v>
      </c>
      <c r="I87" s="10" t="s">
        <v>29</v>
      </c>
      <c r="J87" s="10">
        <v>421212</v>
      </c>
      <c r="K87" s="10">
        <v>9</v>
      </c>
      <c r="L87" s="11">
        <v>42343</v>
      </c>
      <c r="M87" s="10">
        <v>2.63</v>
      </c>
      <c r="N87" s="10" t="s">
        <v>146</v>
      </c>
      <c r="O87" s="10">
        <v>9654015633</v>
      </c>
      <c r="P87" s="11" t="s">
        <v>100</v>
      </c>
      <c r="Q87" s="12">
        <v>2015</v>
      </c>
    </row>
    <row r="88" spans="1:17" x14ac:dyDescent="0.3">
      <c r="A88" s="13">
        <v>421</v>
      </c>
      <c r="B88" s="14" t="s">
        <v>48</v>
      </c>
      <c r="C88" s="14" t="s">
        <v>40</v>
      </c>
      <c r="D88" s="14">
        <v>35</v>
      </c>
      <c r="E88" s="14" t="s">
        <v>41</v>
      </c>
      <c r="F88" s="14" t="s">
        <v>147</v>
      </c>
      <c r="G88" s="14" t="s">
        <v>21</v>
      </c>
      <c r="H88" s="14" t="s">
        <v>35</v>
      </c>
      <c r="I88" s="14" t="s">
        <v>29</v>
      </c>
      <c r="J88" s="14">
        <v>469237</v>
      </c>
      <c r="K88" s="14">
        <v>12</v>
      </c>
      <c r="L88" s="15">
        <v>45334</v>
      </c>
      <c r="M88" s="14">
        <v>3.6</v>
      </c>
      <c r="N88" s="14" t="s">
        <v>148</v>
      </c>
      <c r="O88" s="14">
        <v>9819793170</v>
      </c>
      <c r="P88" s="15" t="s">
        <v>59</v>
      </c>
      <c r="Q88" s="16">
        <v>2024</v>
      </c>
    </row>
    <row r="89" spans="1:17" x14ac:dyDescent="0.3">
      <c r="A89" s="9">
        <v>1001</v>
      </c>
      <c r="B89" s="10" t="s">
        <v>17</v>
      </c>
      <c r="C89" s="10" t="s">
        <v>72</v>
      </c>
      <c r="D89" s="10">
        <v>48</v>
      </c>
      <c r="E89" s="10" t="s">
        <v>41</v>
      </c>
      <c r="F89" s="10" t="s">
        <v>147</v>
      </c>
      <c r="G89" s="10" t="s">
        <v>55</v>
      </c>
      <c r="H89" s="10" t="s">
        <v>78</v>
      </c>
      <c r="I89" s="10" t="s">
        <v>23</v>
      </c>
      <c r="J89" s="10">
        <v>401142</v>
      </c>
      <c r="K89" s="10">
        <v>0</v>
      </c>
      <c r="L89" s="11">
        <v>45416</v>
      </c>
      <c r="M89" s="10">
        <v>4.9800000000000004</v>
      </c>
      <c r="N89" s="10" t="s">
        <v>149</v>
      </c>
      <c r="O89" s="10">
        <v>7124896114</v>
      </c>
      <c r="P89" s="11" t="s">
        <v>67</v>
      </c>
      <c r="Q89" s="12">
        <v>2024</v>
      </c>
    </row>
    <row r="90" spans="1:17" x14ac:dyDescent="0.3">
      <c r="A90" s="13">
        <v>362</v>
      </c>
      <c r="B90" s="14" t="s">
        <v>85</v>
      </c>
      <c r="C90" s="14" t="s">
        <v>81</v>
      </c>
      <c r="D90" s="14">
        <v>23</v>
      </c>
      <c r="E90" s="14" t="s">
        <v>41</v>
      </c>
      <c r="F90" s="14" t="s">
        <v>147</v>
      </c>
      <c r="G90" s="14" t="s">
        <v>55</v>
      </c>
      <c r="H90" s="14" t="s">
        <v>78</v>
      </c>
      <c r="I90" s="14" t="s">
        <v>60</v>
      </c>
      <c r="J90" s="14">
        <v>398601</v>
      </c>
      <c r="K90" s="14">
        <v>10</v>
      </c>
      <c r="L90" s="15">
        <v>45464</v>
      </c>
      <c r="M90" s="14">
        <v>3.22</v>
      </c>
      <c r="N90" s="14" t="s">
        <v>150</v>
      </c>
      <c r="O90" s="14">
        <v>9974379702</v>
      </c>
      <c r="P90" s="15" t="s">
        <v>90</v>
      </c>
      <c r="Q90" s="16">
        <v>2024</v>
      </c>
    </row>
    <row r="91" spans="1:17" x14ac:dyDescent="0.3">
      <c r="A91" s="9">
        <v>1769</v>
      </c>
      <c r="B91" s="10" t="s">
        <v>26</v>
      </c>
      <c r="C91" s="10" t="s">
        <v>81</v>
      </c>
      <c r="D91" s="10">
        <v>37</v>
      </c>
      <c r="E91" s="10" t="s">
        <v>19</v>
      </c>
      <c r="F91" s="10" t="s">
        <v>147</v>
      </c>
      <c r="G91" s="10" t="s">
        <v>55</v>
      </c>
      <c r="H91" s="10" t="s">
        <v>22</v>
      </c>
      <c r="I91" s="10" t="s">
        <v>23</v>
      </c>
      <c r="J91" s="10">
        <v>310683</v>
      </c>
      <c r="K91" s="10">
        <v>11</v>
      </c>
      <c r="L91" s="11">
        <v>44938</v>
      </c>
      <c r="M91" s="10">
        <v>2.11</v>
      </c>
      <c r="N91" s="10" t="s">
        <v>151</v>
      </c>
      <c r="O91" s="10">
        <v>8650619541</v>
      </c>
      <c r="P91" s="11" t="s">
        <v>83</v>
      </c>
      <c r="Q91" s="12">
        <v>2023</v>
      </c>
    </row>
    <row r="92" spans="1:17" x14ac:dyDescent="0.3">
      <c r="A92" s="13">
        <v>314</v>
      </c>
      <c r="B92" s="14" t="s">
        <v>17</v>
      </c>
      <c r="C92" s="14" t="s">
        <v>92</v>
      </c>
      <c r="D92" s="14">
        <v>43</v>
      </c>
      <c r="E92" s="14" t="s">
        <v>19</v>
      </c>
      <c r="F92" s="14" t="s">
        <v>147</v>
      </c>
      <c r="G92" s="14" t="s">
        <v>27</v>
      </c>
      <c r="H92" s="14" t="s">
        <v>35</v>
      </c>
      <c r="I92" s="14" t="s">
        <v>29</v>
      </c>
      <c r="J92" s="14">
        <v>348361</v>
      </c>
      <c r="K92" s="14">
        <v>5</v>
      </c>
      <c r="L92" s="15">
        <v>45034</v>
      </c>
      <c r="M92" s="14">
        <v>4.2</v>
      </c>
      <c r="N92" s="14" t="s">
        <v>152</v>
      </c>
      <c r="O92" s="14">
        <v>8036654419</v>
      </c>
      <c r="P92" s="15" t="s">
        <v>31</v>
      </c>
      <c r="Q92" s="16">
        <v>2023</v>
      </c>
    </row>
    <row r="93" spans="1:17" x14ac:dyDescent="0.3">
      <c r="A93" s="9">
        <v>1680</v>
      </c>
      <c r="B93" s="10" t="s">
        <v>17</v>
      </c>
      <c r="C93" s="10" t="s">
        <v>81</v>
      </c>
      <c r="D93" s="10">
        <v>30</v>
      </c>
      <c r="E93" s="10" t="s">
        <v>19</v>
      </c>
      <c r="F93" s="10" t="s">
        <v>147</v>
      </c>
      <c r="G93" s="10" t="s">
        <v>27</v>
      </c>
      <c r="H93" s="10" t="s">
        <v>35</v>
      </c>
      <c r="I93" s="10" t="s">
        <v>29</v>
      </c>
      <c r="J93" s="10">
        <v>332219</v>
      </c>
      <c r="K93" s="10">
        <v>19</v>
      </c>
      <c r="L93" s="11">
        <v>45246</v>
      </c>
      <c r="M93" s="10">
        <v>4.55</v>
      </c>
      <c r="N93" s="10" t="s">
        <v>153</v>
      </c>
      <c r="O93" s="10">
        <v>8090563317</v>
      </c>
      <c r="P93" s="11" t="s">
        <v>57</v>
      </c>
      <c r="Q93" s="12">
        <v>2023</v>
      </c>
    </row>
    <row r="94" spans="1:17" x14ac:dyDescent="0.3">
      <c r="A94" s="13">
        <v>1477</v>
      </c>
      <c r="B94" s="14" t="s">
        <v>32</v>
      </c>
      <c r="C94" s="14" t="s">
        <v>92</v>
      </c>
      <c r="D94" s="14">
        <v>47</v>
      </c>
      <c r="E94" s="14" t="s">
        <v>19</v>
      </c>
      <c r="F94" s="14" t="s">
        <v>147</v>
      </c>
      <c r="G94" s="14" t="s">
        <v>55</v>
      </c>
      <c r="H94" s="14" t="s">
        <v>28</v>
      </c>
      <c r="I94" s="14" t="s">
        <v>62</v>
      </c>
      <c r="J94" s="14">
        <v>344667</v>
      </c>
      <c r="K94" s="14">
        <v>1</v>
      </c>
      <c r="L94" s="15">
        <v>44569</v>
      </c>
      <c r="M94" s="14">
        <v>3.24</v>
      </c>
      <c r="N94" s="14" t="s">
        <v>154</v>
      </c>
      <c r="O94" s="14">
        <v>9716921073</v>
      </c>
      <c r="P94" s="15" t="s">
        <v>83</v>
      </c>
      <c r="Q94" s="16">
        <v>2022</v>
      </c>
    </row>
    <row r="95" spans="1:17" x14ac:dyDescent="0.3">
      <c r="A95" s="9">
        <v>852</v>
      </c>
      <c r="B95" s="10" t="s">
        <v>68</v>
      </c>
      <c r="C95" s="10" t="s">
        <v>18</v>
      </c>
      <c r="D95" s="10">
        <v>59</v>
      </c>
      <c r="E95" s="10" t="s">
        <v>41</v>
      </c>
      <c r="F95" s="10" t="s">
        <v>147</v>
      </c>
      <c r="G95" s="10" t="s">
        <v>21</v>
      </c>
      <c r="H95" s="10" t="s">
        <v>28</v>
      </c>
      <c r="I95" s="10" t="s">
        <v>36</v>
      </c>
      <c r="J95" s="10">
        <v>427791</v>
      </c>
      <c r="K95" s="10">
        <v>3</v>
      </c>
      <c r="L95" s="11">
        <v>44658</v>
      </c>
      <c r="M95" s="10">
        <v>3.01</v>
      </c>
      <c r="N95" s="10" t="s">
        <v>155</v>
      </c>
      <c r="O95" s="10">
        <v>8910270348</v>
      </c>
      <c r="P95" s="11" t="s">
        <v>31</v>
      </c>
      <c r="Q95" s="12">
        <v>2022</v>
      </c>
    </row>
    <row r="96" spans="1:17" x14ac:dyDescent="0.3">
      <c r="A96" s="13">
        <v>1969</v>
      </c>
      <c r="B96" s="14" t="s">
        <v>39</v>
      </c>
      <c r="C96" s="14" t="s">
        <v>92</v>
      </c>
      <c r="D96" s="14">
        <v>24</v>
      </c>
      <c r="E96" s="14" t="s">
        <v>41</v>
      </c>
      <c r="F96" s="14" t="s">
        <v>147</v>
      </c>
      <c r="G96" s="14" t="s">
        <v>42</v>
      </c>
      <c r="H96" s="14" t="s">
        <v>22</v>
      </c>
      <c r="I96" s="14" t="s">
        <v>62</v>
      </c>
      <c r="J96" s="14">
        <v>427800</v>
      </c>
      <c r="K96" s="14">
        <v>16</v>
      </c>
      <c r="L96" s="15">
        <v>44670</v>
      </c>
      <c r="M96" s="14">
        <v>4.1500000000000004</v>
      </c>
      <c r="N96" s="14" t="s">
        <v>156</v>
      </c>
      <c r="O96" s="14">
        <v>7859561851</v>
      </c>
      <c r="P96" s="15" t="s">
        <v>31</v>
      </c>
      <c r="Q96" s="16">
        <v>2022</v>
      </c>
    </row>
    <row r="97" spans="1:17" x14ac:dyDescent="0.3">
      <c r="A97" s="9">
        <v>1958</v>
      </c>
      <c r="B97" s="10" t="s">
        <v>53</v>
      </c>
      <c r="C97" s="10" t="s">
        <v>72</v>
      </c>
      <c r="D97" s="10">
        <v>24</v>
      </c>
      <c r="E97" s="10" t="s">
        <v>19</v>
      </c>
      <c r="F97" s="10" t="s">
        <v>147</v>
      </c>
      <c r="G97" s="10" t="s">
        <v>76</v>
      </c>
      <c r="H97" s="10" t="s">
        <v>78</v>
      </c>
      <c r="I97" s="10" t="s">
        <v>62</v>
      </c>
      <c r="J97" s="10">
        <v>491898</v>
      </c>
      <c r="K97" s="10">
        <v>17</v>
      </c>
      <c r="L97" s="11">
        <v>44685</v>
      </c>
      <c r="M97" s="10">
        <v>1.64</v>
      </c>
      <c r="N97" s="10" t="s">
        <v>157</v>
      </c>
      <c r="O97" s="10">
        <v>8085312659</v>
      </c>
      <c r="P97" s="11" t="s">
        <v>67</v>
      </c>
      <c r="Q97" s="12">
        <v>2022</v>
      </c>
    </row>
    <row r="98" spans="1:17" x14ac:dyDescent="0.3">
      <c r="A98" s="13">
        <v>898</v>
      </c>
      <c r="B98" s="14" t="s">
        <v>32</v>
      </c>
      <c r="C98" s="14" t="s">
        <v>49</v>
      </c>
      <c r="D98" s="14">
        <v>35</v>
      </c>
      <c r="E98" s="14" t="s">
        <v>19</v>
      </c>
      <c r="F98" s="14" t="s">
        <v>147</v>
      </c>
      <c r="G98" s="14" t="s">
        <v>55</v>
      </c>
      <c r="H98" s="14" t="s">
        <v>55</v>
      </c>
      <c r="I98" s="14" t="s">
        <v>60</v>
      </c>
      <c r="J98" s="14">
        <v>405590</v>
      </c>
      <c r="K98" s="14">
        <v>6</v>
      </c>
      <c r="L98" s="15">
        <v>44754</v>
      </c>
      <c r="M98" s="14">
        <v>3.7</v>
      </c>
      <c r="N98" s="14" t="s">
        <v>158</v>
      </c>
      <c r="O98" s="14">
        <v>9450715166</v>
      </c>
      <c r="P98" s="15" t="s">
        <v>38</v>
      </c>
      <c r="Q98" s="16">
        <v>2022</v>
      </c>
    </row>
    <row r="99" spans="1:17" x14ac:dyDescent="0.3">
      <c r="A99" s="9">
        <v>1090</v>
      </c>
      <c r="B99" s="10" t="s">
        <v>26</v>
      </c>
      <c r="C99" s="10" t="s">
        <v>18</v>
      </c>
      <c r="D99" s="10">
        <v>37</v>
      </c>
      <c r="E99" s="10" t="s">
        <v>41</v>
      </c>
      <c r="F99" s="10" t="s">
        <v>147</v>
      </c>
      <c r="G99" s="10" t="s">
        <v>55</v>
      </c>
      <c r="H99" s="10" t="s">
        <v>22</v>
      </c>
      <c r="I99" s="10" t="s">
        <v>36</v>
      </c>
      <c r="J99" s="10">
        <v>485175</v>
      </c>
      <c r="K99" s="10">
        <v>3</v>
      </c>
      <c r="L99" s="11">
        <v>44852</v>
      </c>
      <c r="M99" s="10">
        <v>4.43</v>
      </c>
      <c r="N99" s="10" t="s">
        <v>159</v>
      </c>
      <c r="O99" s="10">
        <v>8573132266</v>
      </c>
      <c r="P99" s="11" t="s">
        <v>75</v>
      </c>
      <c r="Q99" s="12">
        <v>2022</v>
      </c>
    </row>
    <row r="100" spans="1:17" x14ac:dyDescent="0.3">
      <c r="A100" s="13">
        <v>245</v>
      </c>
      <c r="B100" s="14" t="s">
        <v>48</v>
      </c>
      <c r="C100" s="14" t="s">
        <v>45</v>
      </c>
      <c r="D100" s="14">
        <v>54</v>
      </c>
      <c r="E100" s="14" t="s">
        <v>41</v>
      </c>
      <c r="F100" s="14" t="s">
        <v>147</v>
      </c>
      <c r="G100" s="14" t="s">
        <v>27</v>
      </c>
      <c r="H100" s="14" t="s">
        <v>69</v>
      </c>
      <c r="I100" s="14" t="s">
        <v>29</v>
      </c>
      <c r="J100" s="14">
        <v>423609</v>
      </c>
      <c r="K100" s="14">
        <v>6</v>
      </c>
      <c r="L100" s="15">
        <v>44401</v>
      </c>
      <c r="M100" s="14">
        <v>1.29</v>
      </c>
      <c r="N100" s="14" t="s">
        <v>160</v>
      </c>
      <c r="O100" s="14">
        <v>8757333044</v>
      </c>
      <c r="P100" s="15" t="s">
        <v>38</v>
      </c>
      <c r="Q100" s="16">
        <v>2021</v>
      </c>
    </row>
    <row r="101" spans="1:17" x14ac:dyDescent="0.3">
      <c r="A101" s="9">
        <v>685</v>
      </c>
      <c r="B101" s="10" t="s">
        <v>103</v>
      </c>
      <c r="C101" s="10" t="s">
        <v>81</v>
      </c>
      <c r="D101" s="10">
        <v>59</v>
      </c>
      <c r="E101" s="10" t="s">
        <v>41</v>
      </c>
      <c r="F101" s="10" t="s">
        <v>147</v>
      </c>
      <c r="G101" s="10" t="s">
        <v>27</v>
      </c>
      <c r="H101" s="10" t="s">
        <v>55</v>
      </c>
      <c r="I101" s="10" t="s">
        <v>23</v>
      </c>
      <c r="J101" s="10">
        <v>435237</v>
      </c>
      <c r="K101" s="10">
        <v>9</v>
      </c>
      <c r="L101" s="11">
        <v>44541</v>
      </c>
      <c r="M101" s="10">
        <v>1.48</v>
      </c>
      <c r="N101" s="10" t="s">
        <v>161</v>
      </c>
      <c r="O101" s="10">
        <v>7303833152</v>
      </c>
      <c r="P101" s="11" t="s">
        <v>100</v>
      </c>
      <c r="Q101" s="12">
        <v>2021</v>
      </c>
    </row>
    <row r="102" spans="1:17" x14ac:dyDescent="0.3">
      <c r="A102" s="13">
        <v>833</v>
      </c>
      <c r="B102" s="14" t="s">
        <v>103</v>
      </c>
      <c r="C102" s="14" t="s">
        <v>54</v>
      </c>
      <c r="D102" s="14">
        <v>41</v>
      </c>
      <c r="E102" s="14" t="s">
        <v>41</v>
      </c>
      <c r="F102" s="14" t="s">
        <v>147</v>
      </c>
      <c r="G102" s="14" t="s">
        <v>34</v>
      </c>
      <c r="H102" s="14" t="s">
        <v>78</v>
      </c>
      <c r="I102" s="14" t="s">
        <v>50</v>
      </c>
      <c r="J102" s="14">
        <v>412945</v>
      </c>
      <c r="K102" s="14">
        <v>15</v>
      </c>
      <c r="L102" s="15">
        <v>43912</v>
      </c>
      <c r="M102" s="14">
        <v>1.86</v>
      </c>
      <c r="N102" s="14" t="s">
        <v>162</v>
      </c>
      <c r="O102" s="14">
        <v>9787671362</v>
      </c>
      <c r="P102" s="15" t="s">
        <v>25</v>
      </c>
      <c r="Q102" s="16">
        <v>2020</v>
      </c>
    </row>
    <row r="103" spans="1:17" x14ac:dyDescent="0.3">
      <c r="A103" s="9">
        <v>995</v>
      </c>
      <c r="B103" s="10" t="s">
        <v>53</v>
      </c>
      <c r="C103" s="10" t="s">
        <v>18</v>
      </c>
      <c r="D103" s="10">
        <v>39</v>
      </c>
      <c r="E103" s="10" t="s">
        <v>41</v>
      </c>
      <c r="F103" s="10" t="s">
        <v>147</v>
      </c>
      <c r="G103" s="10" t="s">
        <v>34</v>
      </c>
      <c r="H103" s="10" t="s">
        <v>55</v>
      </c>
      <c r="I103" s="10" t="s">
        <v>29</v>
      </c>
      <c r="J103" s="10">
        <v>407396</v>
      </c>
      <c r="K103" s="10">
        <v>14</v>
      </c>
      <c r="L103" s="11">
        <v>43919</v>
      </c>
      <c r="M103" s="10">
        <v>3.06</v>
      </c>
      <c r="N103" s="10" t="s">
        <v>163</v>
      </c>
      <c r="O103" s="10">
        <v>7646756827</v>
      </c>
      <c r="P103" s="11" t="s">
        <v>25</v>
      </c>
      <c r="Q103" s="12">
        <v>2020</v>
      </c>
    </row>
    <row r="104" spans="1:17" x14ac:dyDescent="0.3">
      <c r="A104" s="13">
        <v>970</v>
      </c>
      <c r="B104" s="14" t="s">
        <v>68</v>
      </c>
      <c r="C104" s="14" t="s">
        <v>49</v>
      </c>
      <c r="D104" s="14">
        <v>35</v>
      </c>
      <c r="E104" s="14" t="s">
        <v>41</v>
      </c>
      <c r="F104" s="14" t="s">
        <v>147</v>
      </c>
      <c r="G104" s="14" t="s">
        <v>34</v>
      </c>
      <c r="H104" s="14" t="s">
        <v>55</v>
      </c>
      <c r="I104" s="14" t="s">
        <v>29</v>
      </c>
      <c r="J104" s="14">
        <v>478677</v>
      </c>
      <c r="K104" s="14">
        <v>16</v>
      </c>
      <c r="L104" s="15">
        <v>43962</v>
      </c>
      <c r="M104" s="14">
        <v>2.06</v>
      </c>
      <c r="N104" s="14" t="s">
        <v>164</v>
      </c>
      <c r="O104" s="14">
        <v>9240194222</v>
      </c>
      <c r="P104" s="15" t="s">
        <v>67</v>
      </c>
      <c r="Q104" s="16">
        <v>2020</v>
      </c>
    </row>
    <row r="105" spans="1:17" x14ac:dyDescent="0.3">
      <c r="A105" s="9">
        <v>194</v>
      </c>
      <c r="B105" s="10" t="s">
        <v>68</v>
      </c>
      <c r="C105" s="10" t="s">
        <v>65</v>
      </c>
      <c r="D105" s="10">
        <v>48</v>
      </c>
      <c r="E105" s="10" t="s">
        <v>19</v>
      </c>
      <c r="F105" s="10" t="s">
        <v>147</v>
      </c>
      <c r="G105" s="10" t="s">
        <v>34</v>
      </c>
      <c r="H105" s="10" t="s">
        <v>22</v>
      </c>
      <c r="I105" s="10" t="s">
        <v>23</v>
      </c>
      <c r="J105" s="10">
        <v>308582</v>
      </c>
      <c r="K105" s="10">
        <v>17</v>
      </c>
      <c r="L105" s="11">
        <v>44084</v>
      </c>
      <c r="M105" s="10">
        <v>4.74</v>
      </c>
      <c r="N105" s="10" t="s">
        <v>165</v>
      </c>
      <c r="O105" s="10">
        <v>9055344762</v>
      </c>
      <c r="P105" s="11" t="s">
        <v>52</v>
      </c>
      <c r="Q105" s="12">
        <v>2020</v>
      </c>
    </row>
    <row r="106" spans="1:17" x14ac:dyDescent="0.3">
      <c r="A106" s="13">
        <v>320</v>
      </c>
      <c r="B106" s="14" t="s">
        <v>53</v>
      </c>
      <c r="C106" s="14" t="s">
        <v>92</v>
      </c>
      <c r="D106" s="14">
        <v>21</v>
      </c>
      <c r="E106" s="14" t="s">
        <v>19</v>
      </c>
      <c r="F106" s="14" t="s">
        <v>147</v>
      </c>
      <c r="G106" s="14" t="s">
        <v>42</v>
      </c>
      <c r="H106" s="14" t="s">
        <v>35</v>
      </c>
      <c r="I106" s="14" t="s">
        <v>23</v>
      </c>
      <c r="J106" s="14">
        <v>342912</v>
      </c>
      <c r="K106" s="14">
        <v>7</v>
      </c>
      <c r="L106" s="15">
        <v>43501</v>
      </c>
      <c r="M106" s="14">
        <v>2.75</v>
      </c>
      <c r="N106" s="14" t="s">
        <v>166</v>
      </c>
      <c r="O106" s="14">
        <v>7685738793</v>
      </c>
      <c r="P106" s="15" t="s">
        <v>59</v>
      </c>
      <c r="Q106" s="16">
        <v>2019</v>
      </c>
    </row>
    <row r="107" spans="1:17" x14ac:dyDescent="0.3">
      <c r="A107" s="9">
        <v>1308</v>
      </c>
      <c r="B107" s="10" t="s">
        <v>44</v>
      </c>
      <c r="C107" s="10" t="s">
        <v>33</v>
      </c>
      <c r="D107" s="10">
        <v>36</v>
      </c>
      <c r="E107" s="10" t="s">
        <v>19</v>
      </c>
      <c r="F107" s="10" t="s">
        <v>147</v>
      </c>
      <c r="G107" s="10" t="s">
        <v>27</v>
      </c>
      <c r="H107" s="10" t="s">
        <v>55</v>
      </c>
      <c r="I107" s="10" t="s">
        <v>29</v>
      </c>
      <c r="J107" s="10">
        <v>322446</v>
      </c>
      <c r="K107" s="10">
        <v>8</v>
      </c>
      <c r="L107" s="11">
        <v>43559</v>
      </c>
      <c r="M107" s="10">
        <v>3.98</v>
      </c>
      <c r="N107" s="10" t="s">
        <v>167</v>
      </c>
      <c r="O107" s="10">
        <v>7714318292</v>
      </c>
      <c r="P107" s="11" t="s">
        <v>31</v>
      </c>
      <c r="Q107" s="12">
        <v>2019</v>
      </c>
    </row>
    <row r="108" spans="1:17" x14ac:dyDescent="0.3">
      <c r="A108" s="13">
        <v>549</v>
      </c>
      <c r="B108" s="14" t="s">
        <v>44</v>
      </c>
      <c r="C108" s="14" t="s">
        <v>18</v>
      </c>
      <c r="D108" s="14">
        <v>24</v>
      </c>
      <c r="E108" s="14" t="s">
        <v>41</v>
      </c>
      <c r="F108" s="14" t="s">
        <v>147</v>
      </c>
      <c r="G108" s="14" t="s">
        <v>21</v>
      </c>
      <c r="H108" s="14" t="s">
        <v>28</v>
      </c>
      <c r="I108" s="14" t="s">
        <v>23</v>
      </c>
      <c r="J108" s="14">
        <v>488256</v>
      </c>
      <c r="K108" s="14">
        <v>5</v>
      </c>
      <c r="L108" s="15">
        <v>43688</v>
      </c>
      <c r="M108" s="14">
        <v>2.16</v>
      </c>
      <c r="N108" s="14" t="s">
        <v>168</v>
      </c>
      <c r="O108" s="14">
        <v>7991175285</v>
      </c>
      <c r="P108" s="15" t="s">
        <v>47</v>
      </c>
      <c r="Q108" s="16">
        <v>2019</v>
      </c>
    </row>
    <row r="109" spans="1:17" x14ac:dyDescent="0.3">
      <c r="A109" s="9">
        <v>1879</v>
      </c>
      <c r="B109" s="10" t="s">
        <v>68</v>
      </c>
      <c r="C109" s="10" t="s">
        <v>54</v>
      </c>
      <c r="D109" s="10">
        <v>49</v>
      </c>
      <c r="E109" s="10" t="s">
        <v>41</v>
      </c>
      <c r="F109" s="10" t="s">
        <v>147</v>
      </c>
      <c r="G109" s="10" t="s">
        <v>27</v>
      </c>
      <c r="H109" s="10" t="s">
        <v>22</v>
      </c>
      <c r="I109" s="10" t="s">
        <v>60</v>
      </c>
      <c r="J109" s="10">
        <v>388004</v>
      </c>
      <c r="K109" s="10">
        <v>17</v>
      </c>
      <c r="L109" s="11">
        <v>43182</v>
      </c>
      <c r="M109" s="10">
        <v>3.26</v>
      </c>
      <c r="N109" s="10" t="s">
        <v>169</v>
      </c>
      <c r="O109" s="10">
        <v>9575866965</v>
      </c>
      <c r="P109" s="11" t="s">
        <v>25</v>
      </c>
      <c r="Q109" s="12">
        <v>2018</v>
      </c>
    </row>
    <row r="110" spans="1:17" x14ac:dyDescent="0.3">
      <c r="A110" s="13">
        <v>1253</v>
      </c>
      <c r="B110" s="14" t="s">
        <v>53</v>
      </c>
      <c r="C110" s="14" t="s">
        <v>18</v>
      </c>
      <c r="D110" s="14">
        <v>59</v>
      </c>
      <c r="E110" s="14" t="s">
        <v>41</v>
      </c>
      <c r="F110" s="14" t="s">
        <v>147</v>
      </c>
      <c r="G110" s="14" t="s">
        <v>27</v>
      </c>
      <c r="H110" s="14" t="s">
        <v>69</v>
      </c>
      <c r="I110" s="14" t="s">
        <v>36</v>
      </c>
      <c r="J110" s="14">
        <v>436925</v>
      </c>
      <c r="K110" s="14">
        <v>9</v>
      </c>
      <c r="L110" s="15">
        <v>42770</v>
      </c>
      <c r="M110" s="14">
        <v>2.38</v>
      </c>
      <c r="N110" s="14" t="s">
        <v>170</v>
      </c>
      <c r="O110" s="14">
        <v>9087715969</v>
      </c>
      <c r="P110" s="15" t="s">
        <v>59</v>
      </c>
      <c r="Q110" s="16">
        <v>2017</v>
      </c>
    </row>
    <row r="111" spans="1:17" x14ac:dyDescent="0.3">
      <c r="A111" s="9">
        <v>216</v>
      </c>
      <c r="B111" s="10" t="s">
        <v>85</v>
      </c>
      <c r="C111" s="10" t="s">
        <v>92</v>
      </c>
      <c r="D111" s="10">
        <v>49</v>
      </c>
      <c r="E111" s="10" t="s">
        <v>19</v>
      </c>
      <c r="F111" s="10" t="s">
        <v>147</v>
      </c>
      <c r="G111" s="10" t="s">
        <v>34</v>
      </c>
      <c r="H111" s="10" t="s">
        <v>22</v>
      </c>
      <c r="I111" s="10" t="s">
        <v>36</v>
      </c>
      <c r="J111" s="10">
        <v>348111</v>
      </c>
      <c r="K111" s="10">
        <v>19</v>
      </c>
      <c r="L111" s="11">
        <v>42858</v>
      </c>
      <c r="M111" s="10">
        <v>2.83</v>
      </c>
      <c r="N111" s="10" t="s">
        <v>171</v>
      </c>
      <c r="O111" s="10">
        <v>9704601444</v>
      </c>
      <c r="P111" s="11" t="s">
        <v>67</v>
      </c>
      <c r="Q111" s="12">
        <v>2017</v>
      </c>
    </row>
    <row r="112" spans="1:17" x14ac:dyDescent="0.3">
      <c r="A112" s="13">
        <v>441</v>
      </c>
      <c r="B112" s="14" t="s">
        <v>68</v>
      </c>
      <c r="C112" s="14" t="s">
        <v>45</v>
      </c>
      <c r="D112" s="14">
        <v>31</v>
      </c>
      <c r="E112" s="14" t="s">
        <v>41</v>
      </c>
      <c r="F112" s="14" t="s">
        <v>147</v>
      </c>
      <c r="G112" s="14" t="s">
        <v>34</v>
      </c>
      <c r="H112" s="14" t="s">
        <v>22</v>
      </c>
      <c r="I112" s="14" t="s">
        <v>29</v>
      </c>
      <c r="J112" s="14">
        <v>485137</v>
      </c>
      <c r="K112" s="14">
        <v>3</v>
      </c>
      <c r="L112" s="15">
        <v>42943</v>
      </c>
      <c r="M112" s="14">
        <v>2.78</v>
      </c>
      <c r="N112" s="14" t="s">
        <v>172</v>
      </c>
      <c r="O112" s="14">
        <v>8816965733</v>
      </c>
      <c r="P112" s="15" t="s">
        <v>38</v>
      </c>
      <c r="Q112" s="16">
        <v>2017</v>
      </c>
    </row>
    <row r="113" spans="1:17" x14ac:dyDescent="0.3">
      <c r="A113" s="9">
        <v>190</v>
      </c>
      <c r="B113" s="10" t="s">
        <v>17</v>
      </c>
      <c r="C113" s="10" t="s">
        <v>54</v>
      </c>
      <c r="D113" s="10">
        <v>60</v>
      </c>
      <c r="E113" s="10" t="s">
        <v>19</v>
      </c>
      <c r="F113" s="10" t="s">
        <v>147</v>
      </c>
      <c r="G113" s="10" t="s">
        <v>27</v>
      </c>
      <c r="H113" s="10" t="s">
        <v>35</v>
      </c>
      <c r="I113" s="10" t="s">
        <v>29</v>
      </c>
      <c r="J113" s="10">
        <v>342482</v>
      </c>
      <c r="K113" s="10">
        <v>9</v>
      </c>
      <c r="L113" s="11">
        <v>42969</v>
      </c>
      <c r="M113" s="10">
        <v>2.59</v>
      </c>
      <c r="N113" s="10" t="s">
        <v>173</v>
      </c>
      <c r="O113" s="10">
        <v>7588931535</v>
      </c>
      <c r="P113" s="11" t="s">
        <v>47</v>
      </c>
      <c r="Q113" s="12">
        <v>2017</v>
      </c>
    </row>
    <row r="114" spans="1:17" x14ac:dyDescent="0.3">
      <c r="A114" s="13">
        <v>1311</v>
      </c>
      <c r="B114" s="14" t="s">
        <v>26</v>
      </c>
      <c r="C114" s="14" t="s">
        <v>45</v>
      </c>
      <c r="D114" s="14">
        <v>44</v>
      </c>
      <c r="E114" s="14" t="s">
        <v>41</v>
      </c>
      <c r="F114" s="14" t="s">
        <v>147</v>
      </c>
      <c r="G114" s="14" t="s">
        <v>55</v>
      </c>
      <c r="H114" s="14" t="s">
        <v>69</v>
      </c>
      <c r="I114" s="14" t="s">
        <v>36</v>
      </c>
      <c r="J114" s="14">
        <v>367814</v>
      </c>
      <c r="K114" s="14">
        <v>6</v>
      </c>
      <c r="L114" s="15">
        <v>42997</v>
      </c>
      <c r="M114" s="14">
        <v>1</v>
      </c>
      <c r="N114" s="14" t="s">
        <v>174</v>
      </c>
      <c r="O114" s="14">
        <v>9226439794</v>
      </c>
      <c r="P114" s="15" t="s">
        <v>52</v>
      </c>
      <c r="Q114" s="16">
        <v>2017</v>
      </c>
    </row>
    <row r="115" spans="1:17" x14ac:dyDescent="0.3">
      <c r="A115" s="9">
        <v>146</v>
      </c>
      <c r="B115" s="10" t="s">
        <v>44</v>
      </c>
      <c r="C115" s="10" t="s">
        <v>72</v>
      </c>
      <c r="D115" s="10">
        <v>38</v>
      </c>
      <c r="E115" s="10" t="s">
        <v>19</v>
      </c>
      <c r="F115" s="10" t="s">
        <v>147</v>
      </c>
      <c r="G115" s="10" t="s">
        <v>21</v>
      </c>
      <c r="H115" s="10" t="s">
        <v>78</v>
      </c>
      <c r="I115" s="10" t="s">
        <v>50</v>
      </c>
      <c r="J115" s="10">
        <v>452370</v>
      </c>
      <c r="K115" s="10">
        <v>8</v>
      </c>
      <c r="L115" s="11">
        <v>42998</v>
      </c>
      <c r="M115" s="10">
        <v>1.26</v>
      </c>
      <c r="N115" s="10" t="s">
        <v>175</v>
      </c>
      <c r="O115" s="10">
        <v>7922460235</v>
      </c>
      <c r="P115" s="11" t="s">
        <v>52</v>
      </c>
      <c r="Q115" s="12">
        <v>2017</v>
      </c>
    </row>
    <row r="116" spans="1:17" x14ac:dyDescent="0.3">
      <c r="A116" s="13">
        <v>606</v>
      </c>
      <c r="B116" s="14" t="s">
        <v>103</v>
      </c>
      <c r="C116" s="14" t="s">
        <v>92</v>
      </c>
      <c r="D116" s="14">
        <v>34</v>
      </c>
      <c r="E116" s="14" t="s">
        <v>19</v>
      </c>
      <c r="F116" s="14" t="s">
        <v>147</v>
      </c>
      <c r="G116" s="14" t="s">
        <v>21</v>
      </c>
      <c r="H116" s="14" t="s">
        <v>22</v>
      </c>
      <c r="I116" s="14" t="s">
        <v>50</v>
      </c>
      <c r="J116" s="14">
        <v>327170</v>
      </c>
      <c r="K116" s="14">
        <v>4</v>
      </c>
      <c r="L116" s="15">
        <v>43061</v>
      </c>
      <c r="M116" s="14">
        <v>4.22</v>
      </c>
      <c r="N116" s="14" t="s">
        <v>176</v>
      </c>
      <c r="O116" s="14">
        <v>8376986095</v>
      </c>
      <c r="P116" s="15" t="s">
        <v>57</v>
      </c>
      <c r="Q116" s="16">
        <v>2017</v>
      </c>
    </row>
    <row r="117" spans="1:17" x14ac:dyDescent="0.3">
      <c r="A117" s="9">
        <v>1573</v>
      </c>
      <c r="B117" s="10" t="s">
        <v>32</v>
      </c>
      <c r="C117" s="10" t="s">
        <v>18</v>
      </c>
      <c r="D117" s="10">
        <v>47</v>
      </c>
      <c r="E117" s="10" t="s">
        <v>41</v>
      </c>
      <c r="F117" s="10" t="s">
        <v>147</v>
      </c>
      <c r="G117" s="10" t="s">
        <v>42</v>
      </c>
      <c r="H117" s="10" t="s">
        <v>69</v>
      </c>
      <c r="I117" s="10" t="s">
        <v>36</v>
      </c>
      <c r="J117" s="10">
        <v>486284</v>
      </c>
      <c r="K117" s="10">
        <v>2</v>
      </c>
      <c r="L117" s="11">
        <v>43073</v>
      </c>
      <c r="M117" s="10">
        <v>2.19</v>
      </c>
      <c r="N117" s="10" t="s">
        <v>177</v>
      </c>
      <c r="O117" s="10">
        <v>8697815384</v>
      </c>
      <c r="P117" s="11" t="s">
        <v>100</v>
      </c>
      <c r="Q117" s="12">
        <v>2017</v>
      </c>
    </row>
    <row r="118" spans="1:17" x14ac:dyDescent="0.3">
      <c r="A118" s="13">
        <v>1857</v>
      </c>
      <c r="B118" s="14" t="s">
        <v>32</v>
      </c>
      <c r="C118" s="14" t="s">
        <v>65</v>
      </c>
      <c r="D118" s="14">
        <v>27</v>
      </c>
      <c r="E118" s="14" t="s">
        <v>41</v>
      </c>
      <c r="F118" s="14" t="s">
        <v>147</v>
      </c>
      <c r="G118" s="14" t="s">
        <v>27</v>
      </c>
      <c r="H118" s="14" t="s">
        <v>22</v>
      </c>
      <c r="I118" s="14" t="s">
        <v>62</v>
      </c>
      <c r="J118" s="14">
        <v>312578</v>
      </c>
      <c r="K118" s="14">
        <v>10</v>
      </c>
      <c r="L118" s="15">
        <v>43098</v>
      </c>
      <c r="M118" s="14">
        <v>1.48</v>
      </c>
      <c r="N118" s="14" t="s">
        <v>178</v>
      </c>
      <c r="O118" s="14">
        <v>7707649633</v>
      </c>
      <c r="P118" s="15" t="s">
        <v>100</v>
      </c>
      <c r="Q118" s="16">
        <v>2017</v>
      </c>
    </row>
    <row r="119" spans="1:17" x14ac:dyDescent="0.3">
      <c r="A119" s="9">
        <v>1181</v>
      </c>
      <c r="B119" s="10" t="s">
        <v>26</v>
      </c>
      <c r="C119" s="10" t="s">
        <v>33</v>
      </c>
      <c r="D119" s="10">
        <v>42</v>
      </c>
      <c r="E119" s="10" t="s">
        <v>41</v>
      </c>
      <c r="F119" s="10" t="s">
        <v>147</v>
      </c>
      <c r="G119" s="10" t="s">
        <v>42</v>
      </c>
      <c r="H119" s="10" t="s">
        <v>28</v>
      </c>
      <c r="I119" s="10" t="s">
        <v>23</v>
      </c>
      <c r="J119" s="10">
        <v>353210</v>
      </c>
      <c r="K119" s="10">
        <v>4</v>
      </c>
      <c r="L119" s="11">
        <v>42438</v>
      </c>
      <c r="M119" s="10">
        <v>4.8600000000000003</v>
      </c>
      <c r="N119" s="10" t="s">
        <v>179</v>
      </c>
      <c r="O119" s="10">
        <v>8947987812</v>
      </c>
      <c r="P119" s="11" t="s">
        <v>25</v>
      </c>
      <c r="Q119" s="12">
        <v>2016</v>
      </c>
    </row>
    <row r="120" spans="1:17" x14ac:dyDescent="0.3">
      <c r="A120" s="13">
        <v>1480</v>
      </c>
      <c r="B120" s="14" t="s">
        <v>103</v>
      </c>
      <c r="C120" s="14" t="s">
        <v>33</v>
      </c>
      <c r="D120" s="14">
        <v>26</v>
      </c>
      <c r="E120" s="14" t="s">
        <v>19</v>
      </c>
      <c r="F120" s="14" t="s">
        <v>147</v>
      </c>
      <c r="G120" s="14" t="s">
        <v>55</v>
      </c>
      <c r="H120" s="14" t="s">
        <v>22</v>
      </c>
      <c r="I120" s="14" t="s">
        <v>60</v>
      </c>
      <c r="J120" s="14">
        <v>487216</v>
      </c>
      <c r="K120" s="14">
        <v>18</v>
      </c>
      <c r="L120" s="15">
        <v>42447</v>
      </c>
      <c r="M120" s="14">
        <v>2.37</v>
      </c>
      <c r="N120" s="14" t="s">
        <v>180</v>
      </c>
      <c r="O120" s="14">
        <v>9180455624</v>
      </c>
      <c r="P120" s="15" t="s">
        <v>25</v>
      </c>
      <c r="Q120" s="16">
        <v>2016</v>
      </c>
    </row>
    <row r="121" spans="1:17" x14ac:dyDescent="0.3">
      <c r="A121" s="9">
        <v>1095</v>
      </c>
      <c r="B121" s="10" t="s">
        <v>39</v>
      </c>
      <c r="C121" s="10" t="s">
        <v>45</v>
      </c>
      <c r="D121" s="10">
        <v>23</v>
      </c>
      <c r="E121" s="10" t="s">
        <v>19</v>
      </c>
      <c r="F121" s="10" t="s">
        <v>147</v>
      </c>
      <c r="G121" s="10" t="s">
        <v>34</v>
      </c>
      <c r="H121" s="10" t="s">
        <v>28</v>
      </c>
      <c r="I121" s="10" t="s">
        <v>23</v>
      </c>
      <c r="J121" s="10">
        <v>302582</v>
      </c>
      <c r="K121" s="10">
        <v>14</v>
      </c>
      <c r="L121" s="11">
        <v>42450</v>
      </c>
      <c r="M121" s="10">
        <v>4.37</v>
      </c>
      <c r="N121" s="10" t="s">
        <v>181</v>
      </c>
      <c r="O121" s="10">
        <v>9242035629</v>
      </c>
      <c r="P121" s="11" t="s">
        <v>25</v>
      </c>
      <c r="Q121" s="12">
        <v>2016</v>
      </c>
    </row>
    <row r="122" spans="1:17" x14ac:dyDescent="0.3">
      <c r="A122" s="13">
        <v>1521</v>
      </c>
      <c r="B122" s="14" t="s">
        <v>53</v>
      </c>
      <c r="C122" s="14" t="s">
        <v>33</v>
      </c>
      <c r="D122" s="14">
        <v>54</v>
      </c>
      <c r="E122" s="14" t="s">
        <v>41</v>
      </c>
      <c r="F122" s="14" t="s">
        <v>147</v>
      </c>
      <c r="G122" s="14" t="s">
        <v>42</v>
      </c>
      <c r="H122" s="14" t="s">
        <v>69</v>
      </c>
      <c r="I122" s="14" t="s">
        <v>36</v>
      </c>
      <c r="J122" s="14">
        <v>373704</v>
      </c>
      <c r="K122" s="14">
        <v>11</v>
      </c>
      <c r="L122" s="15">
        <v>42542</v>
      </c>
      <c r="M122" s="14">
        <v>4.41</v>
      </c>
      <c r="N122" s="14" t="s">
        <v>182</v>
      </c>
      <c r="O122" s="14">
        <v>7029790293</v>
      </c>
      <c r="P122" s="15" t="s">
        <v>90</v>
      </c>
      <c r="Q122" s="16">
        <v>2016</v>
      </c>
    </row>
    <row r="123" spans="1:17" x14ac:dyDescent="0.3">
      <c r="A123" s="9">
        <v>393</v>
      </c>
      <c r="B123" s="10" t="s">
        <v>44</v>
      </c>
      <c r="C123" s="10" t="s">
        <v>40</v>
      </c>
      <c r="D123" s="10">
        <v>51</v>
      </c>
      <c r="E123" s="10" t="s">
        <v>19</v>
      </c>
      <c r="F123" s="10" t="s">
        <v>147</v>
      </c>
      <c r="G123" s="10" t="s">
        <v>34</v>
      </c>
      <c r="H123" s="10" t="s">
        <v>28</v>
      </c>
      <c r="I123" s="10" t="s">
        <v>50</v>
      </c>
      <c r="J123" s="10">
        <v>406052</v>
      </c>
      <c r="K123" s="10">
        <v>11</v>
      </c>
      <c r="L123" s="11">
        <v>42558</v>
      </c>
      <c r="M123" s="10">
        <v>3.83</v>
      </c>
      <c r="N123" s="10" t="s">
        <v>183</v>
      </c>
      <c r="O123" s="10">
        <v>9281233491</v>
      </c>
      <c r="P123" s="11" t="s">
        <v>38</v>
      </c>
      <c r="Q123" s="12">
        <v>2016</v>
      </c>
    </row>
    <row r="124" spans="1:17" x14ac:dyDescent="0.3">
      <c r="A124" s="13">
        <v>161</v>
      </c>
      <c r="B124" s="14" t="s">
        <v>68</v>
      </c>
      <c r="C124" s="14" t="s">
        <v>92</v>
      </c>
      <c r="D124" s="14">
        <v>25</v>
      </c>
      <c r="E124" s="14" t="s">
        <v>41</v>
      </c>
      <c r="F124" s="14" t="s">
        <v>147</v>
      </c>
      <c r="G124" s="14" t="s">
        <v>42</v>
      </c>
      <c r="H124" s="14" t="s">
        <v>78</v>
      </c>
      <c r="I124" s="14" t="s">
        <v>36</v>
      </c>
      <c r="J124" s="14">
        <v>378283</v>
      </c>
      <c r="K124" s="14">
        <v>18</v>
      </c>
      <c r="L124" s="15">
        <v>42566</v>
      </c>
      <c r="M124" s="14">
        <v>1.01</v>
      </c>
      <c r="N124" s="14" t="s">
        <v>184</v>
      </c>
      <c r="O124" s="14">
        <v>7065384835</v>
      </c>
      <c r="P124" s="15" t="s">
        <v>38</v>
      </c>
      <c r="Q124" s="16">
        <v>2016</v>
      </c>
    </row>
    <row r="125" spans="1:17" x14ac:dyDescent="0.3">
      <c r="A125" s="9">
        <v>1743</v>
      </c>
      <c r="B125" s="10" t="s">
        <v>32</v>
      </c>
      <c r="C125" s="10" t="s">
        <v>49</v>
      </c>
      <c r="D125" s="10">
        <v>41</v>
      </c>
      <c r="E125" s="10" t="s">
        <v>41</v>
      </c>
      <c r="F125" s="10" t="s">
        <v>147</v>
      </c>
      <c r="G125" s="10" t="s">
        <v>34</v>
      </c>
      <c r="H125" s="10" t="s">
        <v>35</v>
      </c>
      <c r="I125" s="10" t="s">
        <v>23</v>
      </c>
      <c r="J125" s="10">
        <v>374727</v>
      </c>
      <c r="K125" s="10">
        <v>7</v>
      </c>
      <c r="L125" s="11">
        <v>42594</v>
      </c>
      <c r="M125" s="10">
        <v>2.69</v>
      </c>
      <c r="N125" s="10" t="s">
        <v>185</v>
      </c>
      <c r="O125" s="10">
        <v>9154965146</v>
      </c>
      <c r="P125" s="11" t="s">
        <v>47</v>
      </c>
      <c r="Q125" s="12">
        <v>2016</v>
      </c>
    </row>
    <row r="126" spans="1:17" x14ac:dyDescent="0.3">
      <c r="A126" s="13">
        <v>1571</v>
      </c>
      <c r="B126" s="14" t="s">
        <v>39</v>
      </c>
      <c r="C126" s="14" t="s">
        <v>54</v>
      </c>
      <c r="D126" s="14">
        <v>34</v>
      </c>
      <c r="E126" s="14" t="s">
        <v>19</v>
      </c>
      <c r="F126" s="14" t="s">
        <v>147</v>
      </c>
      <c r="G126" s="14" t="s">
        <v>34</v>
      </c>
      <c r="H126" s="14" t="s">
        <v>69</v>
      </c>
      <c r="I126" s="14" t="s">
        <v>36</v>
      </c>
      <c r="J126" s="14">
        <v>364773</v>
      </c>
      <c r="K126" s="14">
        <v>13</v>
      </c>
      <c r="L126" s="15">
        <v>42655</v>
      </c>
      <c r="M126" s="14">
        <v>1.59</v>
      </c>
      <c r="N126" s="14" t="s">
        <v>186</v>
      </c>
      <c r="O126" s="14">
        <v>7575550978</v>
      </c>
      <c r="P126" s="15" t="s">
        <v>75</v>
      </c>
      <c r="Q126" s="16">
        <v>2016</v>
      </c>
    </row>
    <row r="127" spans="1:17" x14ac:dyDescent="0.3">
      <c r="A127" s="9">
        <v>1562</v>
      </c>
      <c r="B127" s="10" t="s">
        <v>32</v>
      </c>
      <c r="C127" s="10" t="s">
        <v>65</v>
      </c>
      <c r="D127" s="10">
        <v>51</v>
      </c>
      <c r="E127" s="10" t="s">
        <v>19</v>
      </c>
      <c r="F127" s="10" t="s">
        <v>147</v>
      </c>
      <c r="G127" s="10" t="s">
        <v>21</v>
      </c>
      <c r="H127" s="10" t="s">
        <v>78</v>
      </c>
      <c r="I127" s="10" t="s">
        <v>23</v>
      </c>
      <c r="J127" s="10">
        <v>403999</v>
      </c>
      <c r="K127" s="10">
        <v>12</v>
      </c>
      <c r="L127" s="11">
        <v>42693</v>
      </c>
      <c r="M127" s="10">
        <v>3.97</v>
      </c>
      <c r="N127" s="10" t="s">
        <v>187</v>
      </c>
      <c r="O127" s="10">
        <v>9209154237</v>
      </c>
      <c r="P127" s="11" t="s">
        <v>57</v>
      </c>
      <c r="Q127" s="12">
        <v>2016</v>
      </c>
    </row>
    <row r="128" spans="1:17" x14ac:dyDescent="0.3">
      <c r="A128" s="13">
        <v>933</v>
      </c>
      <c r="B128" s="14" t="s">
        <v>103</v>
      </c>
      <c r="C128" s="14" t="s">
        <v>54</v>
      </c>
      <c r="D128" s="14">
        <v>22</v>
      </c>
      <c r="E128" s="14" t="s">
        <v>41</v>
      </c>
      <c r="F128" s="14" t="s">
        <v>147</v>
      </c>
      <c r="G128" s="14" t="s">
        <v>42</v>
      </c>
      <c r="H128" s="14" t="s">
        <v>35</v>
      </c>
      <c r="I128" s="14" t="s">
        <v>50</v>
      </c>
      <c r="J128" s="14">
        <v>394547</v>
      </c>
      <c r="K128" s="14">
        <v>0</v>
      </c>
      <c r="L128" s="15">
        <v>42086</v>
      </c>
      <c r="M128" s="14">
        <v>3.96</v>
      </c>
      <c r="N128" s="14" t="s">
        <v>188</v>
      </c>
      <c r="O128" s="14">
        <v>7602805867</v>
      </c>
      <c r="P128" s="15" t="s">
        <v>25</v>
      </c>
      <c r="Q128" s="16">
        <v>2015</v>
      </c>
    </row>
    <row r="129" spans="1:17" x14ac:dyDescent="0.3">
      <c r="A129" s="9">
        <v>1</v>
      </c>
      <c r="B129" s="10" t="s">
        <v>103</v>
      </c>
      <c r="C129" s="10" t="s">
        <v>45</v>
      </c>
      <c r="D129" s="10">
        <v>34</v>
      </c>
      <c r="E129" s="10" t="s">
        <v>19</v>
      </c>
      <c r="F129" s="10" t="s">
        <v>147</v>
      </c>
      <c r="G129" s="10" t="s">
        <v>21</v>
      </c>
      <c r="H129" s="10" t="s">
        <v>28</v>
      </c>
      <c r="I129" s="10" t="s">
        <v>62</v>
      </c>
      <c r="J129" s="10">
        <v>334626</v>
      </c>
      <c r="K129" s="10">
        <v>7</v>
      </c>
      <c r="L129" s="11">
        <v>42177</v>
      </c>
      <c r="M129" s="10">
        <v>1.26</v>
      </c>
      <c r="N129" s="10" t="s">
        <v>189</v>
      </c>
      <c r="O129" s="10">
        <v>7763996178</v>
      </c>
      <c r="P129" s="11" t="s">
        <v>90</v>
      </c>
      <c r="Q129" s="12">
        <v>2015</v>
      </c>
    </row>
    <row r="130" spans="1:17" x14ac:dyDescent="0.3">
      <c r="A130" s="13">
        <v>832</v>
      </c>
      <c r="B130" s="14" t="s">
        <v>48</v>
      </c>
      <c r="C130" s="14" t="s">
        <v>65</v>
      </c>
      <c r="D130" s="14">
        <v>26</v>
      </c>
      <c r="E130" s="14" t="s">
        <v>41</v>
      </c>
      <c r="F130" s="14" t="s">
        <v>147</v>
      </c>
      <c r="G130" s="14" t="s">
        <v>21</v>
      </c>
      <c r="H130" s="14" t="s">
        <v>28</v>
      </c>
      <c r="I130" s="14" t="s">
        <v>29</v>
      </c>
      <c r="J130" s="14">
        <v>440930</v>
      </c>
      <c r="K130" s="14">
        <v>2</v>
      </c>
      <c r="L130" s="15">
        <v>42234</v>
      </c>
      <c r="M130" s="14">
        <v>2.4</v>
      </c>
      <c r="N130" s="14" t="s">
        <v>190</v>
      </c>
      <c r="O130" s="14">
        <v>7549024437</v>
      </c>
      <c r="P130" s="15" t="s">
        <v>47</v>
      </c>
      <c r="Q130" s="16">
        <v>2015</v>
      </c>
    </row>
    <row r="131" spans="1:17" x14ac:dyDescent="0.3">
      <c r="A131" s="9">
        <v>228</v>
      </c>
      <c r="B131" s="10" t="s">
        <v>53</v>
      </c>
      <c r="C131" s="10" t="s">
        <v>65</v>
      </c>
      <c r="D131" s="10">
        <v>40</v>
      </c>
      <c r="E131" s="10" t="s">
        <v>19</v>
      </c>
      <c r="F131" s="10" t="s">
        <v>147</v>
      </c>
      <c r="G131" s="10" t="s">
        <v>21</v>
      </c>
      <c r="H131" s="10" t="s">
        <v>22</v>
      </c>
      <c r="I131" s="10" t="s">
        <v>23</v>
      </c>
      <c r="J131" s="10">
        <v>443812</v>
      </c>
      <c r="K131" s="10">
        <v>3</v>
      </c>
      <c r="L131" s="11">
        <v>42369</v>
      </c>
      <c r="M131" s="10">
        <v>4.67</v>
      </c>
      <c r="N131" s="10" t="s">
        <v>191</v>
      </c>
      <c r="O131" s="10">
        <v>7311234087</v>
      </c>
      <c r="P131" s="11" t="s">
        <v>100</v>
      </c>
      <c r="Q131" s="12">
        <v>2015</v>
      </c>
    </row>
    <row r="132" spans="1:17" x14ac:dyDescent="0.3">
      <c r="A132" s="13">
        <v>98</v>
      </c>
      <c r="B132" s="14" t="s">
        <v>32</v>
      </c>
      <c r="C132" s="14" t="s">
        <v>54</v>
      </c>
      <c r="D132" s="14">
        <v>36</v>
      </c>
      <c r="E132" s="14" t="s">
        <v>19</v>
      </c>
      <c r="F132" s="14" t="s">
        <v>192</v>
      </c>
      <c r="G132" s="14" t="s">
        <v>55</v>
      </c>
      <c r="H132" s="14" t="s">
        <v>69</v>
      </c>
      <c r="I132" s="14" t="s">
        <v>60</v>
      </c>
      <c r="J132" s="14">
        <v>383679</v>
      </c>
      <c r="K132" s="14">
        <v>18</v>
      </c>
      <c r="L132" s="15">
        <v>45408</v>
      </c>
      <c r="M132" s="14">
        <v>3.56</v>
      </c>
      <c r="N132" s="14" t="s">
        <v>193</v>
      </c>
      <c r="O132" s="14">
        <v>8867703928</v>
      </c>
      <c r="P132" s="15" t="s">
        <v>31</v>
      </c>
      <c r="Q132" s="16">
        <v>2024</v>
      </c>
    </row>
    <row r="133" spans="1:17" x14ac:dyDescent="0.3">
      <c r="A133" s="9">
        <v>63</v>
      </c>
      <c r="B133" s="10" t="s">
        <v>85</v>
      </c>
      <c r="C133" s="10" t="s">
        <v>72</v>
      </c>
      <c r="D133" s="10">
        <v>22</v>
      </c>
      <c r="E133" s="10" t="s">
        <v>19</v>
      </c>
      <c r="F133" s="10" t="s">
        <v>192</v>
      </c>
      <c r="G133" s="10" t="s">
        <v>55</v>
      </c>
      <c r="H133" s="10" t="s">
        <v>69</v>
      </c>
      <c r="I133" s="10" t="s">
        <v>60</v>
      </c>
      <c r="J133" s="10">
        <v>344849</v>
      </c>
      <c r="K133" s="10">
        <v>3</v>
      </c>
      <c r="L133" s="11">
        <v>45472</v>
      </c>
      <c r="M133" s="10">
        <v>2.81</v>
      </c>
      <c r="N133" s="10" t="s">
        <v>194</v>
      </c>
      <c r="O133" s="10">
        <v>9066236368</v>
      </c>
      <c r="P133" s="11" t="s">
        <v>90</v>
      </c>
      <c r="Q133" s="12">
        <v>2024</v>
      </c>
    </row>
    <row r="134" spans="1:17" x14ac:dyDescent="0.3">
      <c r="A134" s="13">
        <v>498</v>
      </c>
      <c r="B134" s="14" t="s">
        <v>53</v>
      </c>
      <c r="C134" s="14" t="s">
        <v>81</v>
      </c>
      <c r="D134" s="14">
        <v>39</v>
      </c>
      <c r="E134" s="14" t="s">
        <v>41</v>
      </c>
      <c r="F134" s="14" t="s">
        <v>192</v>
      </c>
      <c r="G134" s="14" t="s">
        <v>42</v>
      </c>
      <c r="H134" s="14" t="s">
        <v>78</v>
      </c>
      <c r="I134" s="14" t="s">
        <v>60</v>
      </c>
      <c r="J134" s="14">
        <v>339272</v>
      </c>
      <c r="K134" s="14">
        <v>13</v>
      </c>
      <c r="L134" s="15">
        <v>45521</v>
      </c>
      <c r="M134" s="14">
        <v>3.72</v>
      </c>
      <c r="N134" s="14" t="s">
        <v>195</v>
      </c>
      <c r="O134" s="14">
        <v>7716573271</v>
      </c>
      <c r="P134" s="15" t="s">
        <v>47</v>
      </c>
      <c r="Q134" s="16">
        <v>2024</v>
      </c>
    </row>
    <row r="135" spans="1:17" x14ac:dyDescent="0.3">
      <c r="A135" s="9">
        <v>277</v>
      </c>
      <c r="B135" s="10" t="s">
        <v>17</v>
      </c>
      <c r="C135" s="10" t="s">
        <v>54</v>
      </c>
      <c r="D135" s="10">
        <v>22</v>
      </c>
      <c r="E135" s="10" t="s">
        <v>19</v>
      </c>
      <c r="F135" s="10" t="s">
        <v>192</v>
      </c>
      <c r="G135" s="10" t="s">
        <v>34</v>
      </c>
      <c r="H135" s="10" t="s">
        <v>28</v>
      </c>
      <c r="I135" s="10" t="s">
        <v>23</v>
      </c>
      <c r="J135" s="10">
        <v>307709</v>
      </c>
      <c r="K135" s="10">
        <v>9</v>
      </c>
      <c r="L135" s="11">
        <v>45613</v>
      </c>
      <c r="M135" s="10">
        <v>2.2200000000000002</v>
      </c>
      <c r="N135" s="10" t="s">
        <v>196</v>
      </c>
      <c r="O135" s="10">
        <v>8800198793</v>
      </c>
      <c r="P135" s="11" t="s">
        <v>57</v>
      </c>
      <c r="Q135" s="12">
        <v>2024</v>
      </c>
    </row>
    <row r="136" spans="1:17" x14ac:dyDescent="0.3">
      <c r="A136" s="13">
        <v>1837</v>
      </c>
      <c r="B136" s="14" t="s">
        <v>103</v>
      </c>
      <c r="C136" s="14" t="s">
        <v>81</v>
      </c>
      <c r="D136" s="14">
        <v>33</v>
      </c>
      <c r="E136" s="14" t="s">
        <v>19</v>
      </c>
      <c r="F136" s="14" t="s">
        <v>192</v>
      </c>
      <c r="G136" s="14" t="s">
        <v>34</v>
      </c>
      <c r="H136" s="14" t="s">
        <v>55</v>
      </c>
      <c r="I136" s="14" t="s">
        <v>60</v>
      </c>
      <c r="J136" s="14">
        <v>406280</v>
      </c>
      <c r="K136" s="14">
        <v>15</v>
      </c>
      <c r="L136" s="15">
        <v>44992</v>
      </c>
      <c r="M136" s="14">
        <v>1.52</v>
      </c>
      <c r="N136" s="14" t="s">
        <v>197</v>
      </c>
      <c r="O136" s="14">
        <v>7208446499</v>
      </c>
      <c r="P136" s="15" t="s">
        <v>25</v>
      </c>
      <c r="Q136" s="16">
        <v>2023</v>
      </c>
    </row>
    <row r="137" spans="1:17" x14ac:dyDescent="0.3">
      <c r="A137" s="9">
        <v>1395</v>
      </c>
      <c r="B137" s="10" t="s">
        <v>26</v>
      </c>
      <c r="C137" s="10" t="s">
        <v>45</v>
      </c>
      <c r="D137" s="10">
        <v>49</v>
      </c>
      <c r="E137" s="10" t="s">
        <v>41</v>
      </c>
      <c r="F137" s="10" t="s">
        <v>192</v>
      </c>
      <c r="G137" s="10" t="s">
        <v>27</v>
      </c>
      <c r="H137" s="10" t="s">
        <v>78</v>
      </c>
      <c r="I137" s="10" t="s">
        <v>50</v>
      </c>
      <c r="J137" s="10">
        <v>349238</v>
      </c>
      <c r="K137" s="10">
        <v>15</v>
      </c>
      <c r="L137" s="11">
        <v>45053</v>
      </c>
      <c r="M137" s="10">
        <v>2</v>
      </c>
      <c r="N137" s="10" t="s">
        <v>198</v>
      </c>
      <c r="O137" s="10">
        <v>9533190919</v>
      </c>
      <c r="P137" s="11" t="s">
        <v>67</v>
      </c>
      <c r="Q137" s="12">
        <v>2023</v>
      </c>
    </row>
    <row r="138" spans="1:17" x14ac:dyDescent="0.3">
      <c r="A138" s="13">
        <v>1048</v>
      </c>
      <c r="B138" s="14" t="s">
        <v>39</v>
      </c>
      <c r="C138" s="14" t="s">
        <v>45</v>
      </c>
      <c r="D138" s="14">
        <v>35</v>
      </c>
      <c r="E138" s="14" t="s">
        <v>41</v>
      </c>
      <c r="F138" s="14" t="s">
        <v>192</v>
      </c>
      <c r="G138" s="14" t="s">
        <v>55</v>
      </c>
      <c r="H138" s="14" t="s">
        <v>78</v>
      </c>
      <c r="I138" s="14" t="s">
        <v>36</v>
      </c>
      <c r="J138" s="14">
        <v>461170</v>
      </c>
      <c r="K138" s="14">
        <v>17</v>
      </c>
      <c r="L138" s="15">
        <v>45243</v>
      </c>
      <c r="M138" s="14">
        <v>2.09</v>
      </c>
      <c r="N138" s="14" t="s">
        <v>199</v>
      </c>
      <c r="O138" s="14">
        <v>8934165497</v>
      </c>
      <c r="P138" s="15" t="s">
        <v>57</v>
      </c>
      <c r="Q138" s="16">
        <v>2023</v>
      </c>
    </row>
    <row r="139" spans="1:17" x14ac:dyDescent="0.3">
      <c r="A139" s="9">
        <v>526</v>
      </c>
      <c r="B139" s="10" t="s">
        <v>53</v>
      </c>
      <c r="C139" s="10" t="s">
        <v>45</v>
      </c>
      <c r="D139" s="10">
        <v>45</v>
      </c>
      <c r="E139" s="10" t="s">
        <v>19</v>
      </c>
      <c r="F139" s="10" t="s">
        <v>192</v>
      </c>
      <c r="G139" s="10" t="s">
        <v>34</v>
      </c>
      <c r="H139" s="10" t="s">
        <v>78</v>
      </c>
      <c r="I139" s="10" t="s">
        <v>62</v>
      </c>
      <c r="J139" s="10">
        <v>452507</v>
      </c>
      <c r="K139" s="10">
        <v>20</v>
      </c>
      <c r="L139" s="11">
        <v>44575</v>
      </c>
      <c r="M139" s="10">
        <v>3.45</v>
      </c>
      <c r="N139" s="10" t="s">
        <v>200</v>
      </c>
      <c r="O139" s="10">
        <v>7416589396</v>
      </c>
      <c r="P139" s="11" t="s">
        <v>83</v>
      </c>
      <c r="Q139" s="12">
        <v>2022</v>
      </c>
    </row>
    <row r="140" spans="1:17" x14ac:dyDescent="0.3">
      <c r="A140" s="13">
        <v>1029</v>
      </c>
      <c r="B140" s="14" t="s">
        <v>103</v>
      </c>
      <c r="C140" s="14" t="s">
        <v>92</v>
      </c>
      <c r="D140" s="14">
        <v>42</v>
      </c>
      <c r="E140" s="14" t="s">
        <v>41</v>
      </c>
      <c r="F140" s="14" t="s">
        <v>192</v>
      </c>
      <c r="G140" s="14" t="s">
        <v>42</v>
      </c>
      <c r="H140" s="14" t="s">
        <v>69</v>
      </c>
      <c r="I140" s="14" t="s">
        <v>60</v>
      </c>
      <c r="J140" s="14">
        <v>354246</v>
      </c>
      <c r="K140" s="14">
        <v>1</v>
      </c>
      <c r="L140" s="15">
        <v>44657</v>
      </c>
      <c r="M140" s="14">
        <v>4.68</v>
      </c>
      <c r="N140" s="14" t="s">
        <v>201</v>
      </c>
      <c r="O140" s="14">
        <v>8119625796</v>
      </c>
      <c r="P140" s="15" t="s">
        <v>31</v>
      </c>
      <c r="Q140" s="16">
        <v>2022</v>
      </c>
    </row>
    <row r="141" spans="1:17" x14ac:dyDescent="0.3">
      <c r="A141" s="9">
        <v>1610</v>
      </c>
      <c r="B141" s="10" t="s">
        <v>48</v>
      </c>
      <c r="C141" s="10" t="s">
        <v>72</v>
      </c>
      <c r="D141" s="10">
        <v>50</v>
      </c>
      <c r="E141" s="10" t="s">
        <v>19</v>
      </c>
      <c r="F141" s="10" t="s">
        <v>192</v>
      </c>
      <c r="G141" s="10" t="s">
        <v>55</v>
      </c>
      <c r="H141" s="10" t="s">
        <v>22</v>
      </c>
      <c r="I141" s="10" t="s">
        <v>36</v>
      </c>
      <c r="J141" s="10">
        <v>432801</v>
      </c>
      <c r="K141" s="10">
        <v>12</v>
      </c>
      <c r="L141" s="11">
        <v>44750</v>
      </c>
      <c r="M141" s="10">
        <v>3.34</v>
      </c>
      <c r="N141" s="10" t="s">
        <v>202</v>
      </c>
      <c r="O141" s="10">
        <v>9206857681</v>
      </c>
      <c r="P141" s="11" t="s">
        <v>38</v>
      </c>
      <c r="Q141" s="12">
        <v>2022</v>
      </c>
    </row>
    <row r="142" spans="1:17" x14ac:dyDescent="0.3">
      <c r="A142" s="13">
        <v>1220</v>
      </c>
      <c r="B142" s="14" t="s">
        <v>48</v>
      </c>
      <c r="C142" s="14" t="s">
        <v>54</v>
      </c>
      <c r="D142" s="14">
        <v>57</v>
      </c>
      <c r="E142" s="14" t="s">
        <v>19</v>
      </c>
      <c r="F142" s="14" t="s">
        <v>192</v>
      </c>
      <c r="G142" s="14" t="s">
        <v>34</v>
      </c>
      <c r="H142" s="14" t="s">
        <v>78</v>
      </c>
      <c r="I142" s="14" t="s">
        <v>29</v>
      </c>
      <c r="J142" s="14">
        <v>498015</v>
      </c>
      <c r="K142" s="14">
        <v>11</v>
      </c>
      <c r="L142" s="15">
        <v>44760</v>
      </c>
      <c r="M142" s="14">
        <v>2.19</v>
      </c>
      <c r="N142" s="14" t="s">
        <v>203</v>
      </c>
      <c r="O142" s="14">
        <v>7844618630</v>
      </c>
      <c r="P142" s="15" t="s">
        <v>38</v>
      </c>
      <c r="Q142" s="16">
        <v>2022</v>
      </c>
    </row>
    <row r="143" spans="1:17" x14ac:dyDescent="0.3">
      <c r="A143" s="9">
        <v>1998</v>
      </c>
      <c r="B143" s="10" t="s">
        <v>103</v>
      </c>
      <c r="C143" s="10" t="s">
        <v>33</v>
      </c>
      <c r="D143" s="10">
        <v>45</v>
      </c>
      <c r="E143" s="10" t="s">
        <v>19</v>
      </c>
      <c r="F143" s="10" t="s">
        <v>192</v>
      </c>
      <c r="G143" s="10" t="s">
        <v>34</v>
      </c>
      <c r="H143" s="10" t="s">
        <v>28</v>
      </c>
      <c r="I143" s="10" t="s">
        <v>29</v>
      </c>
      <c r="J143" s="10">
        <v>448922</v>
      </c>
      <c r="K143" s="10">
        <v>18</v>
      </c>
      <c r="L143" s="11">
        <v>44768</v>
      </c>
      <c r="M143" s="10">
        <v>2.84</v>
      </c>
      <c r="N143" s="10" t="s">
        <v>204</v>
      </c>
      <c r="O143" s="10">
        <v>7973780476</v>
      </c>
      <c r="P143" s="11" t="s">
        <v>38</v>
      </c>
      <c r="Q143" s="12">
        <v>2022</v>
      </c>
    </row>
    <row r="144" spans="1:17" x14ac:dyDescent="0.3">
      <c r="A144" s="13">
        <v>363</v>
      </c>
      <c r="B144" s="14" t="s">
        <v>26</v>
      </c>
      <c r="C144" s="14" t="s">
        <v>18</v>
      </c>
      <c r="D144" s="14">
        <v>53</v>
      </c>
      <c r="E144" s="14" t="s">
        <v>19</v>
      </c>
      <c r="F144" s="14" t="s">
        <v>192</v>
      </c>
      <c r="G144" s="14" t="s">
        <v>55</v>
      </c>
      <c r="H144" s="14" t="s">
        <v>35</v>
      </c>
      <c r="I144" s="14" t="s">
        <v>36</v>
      </c>
      <c r="J144" s="14">
        <v>370258</v>
      </c>
      <c r="K144" s="14">
        <v>8</v>
      </c>
      <c r="L144" s="15">
        <v>44888</v>
      </c>
      <c r="M144" s="14">
        <v>4.75</v>
      </c>
      <c r="N144" s="14" t="s">
        <v>205</v>
      </c>
      <c r="O144" s="14">
        <v>8091155921</v>
      </c>
      <c r="P144" s="15" t="s">
        <v>57</v>
      </c>
      <c r="Q144" s="16">
        <v>2022</v>
      </c>
    </row>
    <row r="145" spans="1:17" x14ac:dyDescent="0.3">
      <c r="A145" s="9">
        <v>1360</v>
      </c>
      <c r="B145" s="10" t="s">
        <v>17</v>
      </c>
      <c r="C145" s="10" t="s">
        <v>72</v>
      </c>
      <c r="D145" s="10">
        <v>39</v>
      </c>
      <c r="E145" s="10" t="s">
        <v>19</v>
      </c>
      <c r="F145" s="10" t="s">
        <v>192</v>
      </c>
      <c r="G145" s="10" t="s">
        <v>42</v>
      </c>
      <c r="H145" s="10" t="s">
        <v>78</v>
      </c>
      <c r="I145" s="10" t="s">
        <v>29</v>
      </c>
      <c r="J145" s="10">
        <v>450425</v>
      </c>
      <c r="K145" s="10">
        <v>6</v>
      </c>
      <c r="L145" s="11">
        <v>44892</v>
      </c>
      <c r="M145" s="10">
        <v>2</v>
      </c>
      <c r="N145" s="10" t="s">
        <v>206</v>
      </c>
      <c r="O145" s="10">
        <v>9429411641</v>
      </c>
      <c r="P145" s="11" t="s">
        <v>57</v>
      </c>
      <c r="Q145" s="12">
        <v>2022</v>
      </c>
    </row>
    <row r="146" spans="1:17" x14ac:dyDescent="0.3">
      <c r="A146" s="13">
        <v>899</v>
      </c>
      <c r="B146" s="14" t="s">
        <v>26</v>
      </c>
      <c r="C146" s="14" t="s">
        <v>92</v>
      </c>
      <c r="D146" s="14">
        <v>33</v>
      </c>
      <c r="E146" s="14" t="s">
        <v>41</v>
      </c>
      <c r="F146" s="14" t="s">
        <v>192</v>
      </c>
      <c r="G146" s="14" t="s">
        <v>21</v>
      </c>
      <c r="H146" s="14" t="s">
        <v>69</v>
      </c>
      <c r="I146" s="14" t="s">
        <v>50</v>
      </c>
      <c r="J146" s="14">
        <v>426382</v>
      </c>
      <c r="K146" s="14">
        <v>9</v>
      </c>
      <c r="L146" s="15">
        <v>44290</v>
      </c>
      <c r="M146" s="14">
        <v>4.0199999999999996</v>
      </c>
      <c r="N146" s="14" t="s">
        <v>207</v>
      </c>
      <c r="O146" s="14">
        <v>8677357809</v>
      </c>
      <c r="P146" s="15" t="s">
        <v>31</v>
      </c>
      <c r="Q146" s="16">
        <v>2021</v>
      </c>
    </row>
    <row r="147" spans="1:17" x14ac:dyDescent="0.3">
      <c r="A147" s="9">
        <v>1514</v>
      </c>
      <c r="B147" s="10" t="s">
        <v>48</v>
      </c>
      <c r="C147" s="10" t="s">
        <v>40</v>
      </c>
      <c r="D147" s="10">
        <v>24</v>
      </c>
      <c r="E147" s="10" t="s">
        <v>41</v>
      </c>
      <c r="F147" s="10" t="s">
        <v>192</v>
      </c>
      <c r="G147" s="10" t="s">
        <v>21</v>
      </c>
      <c r="H147" s="10" t="s">
        <v>28</v>
      </c>
      <c r="I147" s="10" t="s">
        <v>23</v>
      </c>
      <c r="J147" s="10">
        <v>499563</v>
      </c>
      <c r="K147" s="10">
        <v>3</v>
      </c>
      <c r="L147" s="11">
        <v>44442</v>
      </c>
      <c r="M147" s="10">
        <v>2.11</v>
      </c>
      <c r="N147" s="10" t="s">
        <v>208</v>
      </c>
      <c r="O147" s="10">
        <v>7125331294</v>
      </c>
      <c r="P147" s="11" t="s">
        <v>52</v>
      </c>
      <c r="Q147" s="12">
        <v>2021</v>
      </c>
    </row>
    <row r="148" spans="1:17" x14ac:dyDescent="0.3">
      <c r="A148" s="13">
        <v>1195</v>
      </c>
      <c r="B148" s="14" t="s">
        <v>26</v>
      </c>
      <c r="C148" s="14" t="s">
        <v>33</v>
      </c>
      <c r="D148" s="14">
        <v>47</v>
      </c>
      <c r="E148" s="14" t="s">
        <v>41</v>
      </c>
      <c r="F148" s="14" t="s">
        <v>192</v>
      </c>
      <c r="G148" s="14" t="s">
        <v>21</v>
      </c>
      <c r="H148" s="14" t="s">
        <v>35</v>
      </c>
      <c r="I148" s="14" t="s">
        <v>29</v>
      </c>
      <c r="J148" s="14">
        <v>444074</v>
      </c>
      <c r="K148" s="14">
        <v>4</v>
      </c>
      <c r="L148" s="15">
        <v>44090</v>
      </c>
      <c r="M148" s="14">
        <v>3.65</v>
      </c>
      <c r="N148" s="14" t="s">
        <v>209</v>
      </c>
      <c r="O148" s="14">
        <v>7669686383</v>
      </c>
      <c r="P148" s="15" t="s">
        <v>52</v>
      </c>
      <c r="Q148" s="16">
        <v>2020</v>
      </c>
    </row>
    <row r="149" spans="1:17" x14ac:dyDescent="0.3">
      <c r="A149" s="9">
        <v>440</v>
      </c>
      <c r="B149" s="10" t="s">
        <v>32</v>
      </c>
      <c r="C149" s="10" t="s">
        <v>18</v>
      </c>
      <c r="D149" s="10">
        <v>50</v>
      </c>
      <c r="E149" s="10" t="s">
        <v>19</v>
      </c>
      <c r="F149" s="10" t="s">
        <v>192</v>
      </c>
      <c r="G149" s="10" t="s">
        <v>42</v>
      </c>
      <c r="H149" s="10" t="s">
        <v>78</v>
      </c>
      <c r="I149" s="10" t="s">
        <v>62</v>
      </c>
      <c r="J149" s="10">
        <v>435339</v>
      </c>
      <c r="K149" s="10">
        <v>0</v>
      </c>
      <c r="L149" s="11">
        <v>43593</v>
      </c>
      <c r="M149" s="10">
        <v>1.73</v>
      </c>
      <c r="N149" s="10" t="s">
        <v>210</v>
      </c>
      <c r="O149" s="10">
        <v>7974181191</v>
      </c>
      <c r="P149" s="11" t="s">
        <v>67</v>
      </c>
      <c r="Q149" s="12">
        <v>2019</v>
      </c>
    </row>
    <row r="150" spans="1:17" x14ac:dyDescent="0.3">
      <c r="A150" s="13">
        <v>980</v>
      </c>
      <c r="B150" s="14" t="s">
        <v>48</v>
      </c>
      <c r="C150" s="14" t="s">
        <v>18</v>
      </c>
      <c r="D150" s="14">
        <v>35</v>
      </c>
      <c r="E150" s="14" t="s">
        <v>19</v>
      </c>
      <c r="F150" s="14" t="s">
        <v>192</v>
      </c>
      <c r="G150" s="14" t="s">
        <v>55</v>
      </c>
      <c r="H150" s="14" t="s">
        <v>35</v>
      </c>
      <c r="I150" s="14" t="s">
        <v>62</v>
      </c>
      <c r="J150" s="14">
        <v>434389</v>
      </c>
      <c r="K150" s="14">
        <v>13</v>
      </c>
      <c r="L150" s="15">
        <v>43779</v>
      </c>
      <c r="M150" s="14">
        <v>3.81</v>
      </c>
      <c r="N150" s="14" t="s">
        <v>211</v>
      </c>
      <c r="O150" s="14">
        <v>8189373329</v>
      </c>
      <c r="P150" s="15" t="s">
        <v>57</v>
      </c>
      <c r="Q150" s="16">
        <v>2019</v>
      </c>
    </row>
    <row r="151" spans="1:17" x14ac:dyDescent="0.3">
      <c r="A151" s="9">
        <v>612</v>
      </c>
      <c r="B151" s="10" t="s">
        <v>44</v>
      </c>
      <c r="C151" s="10" t="s">
        <v>92</v>
      </c>
      <c r="D151" s="10">
        <v>54</v>
      </c>
      <c r="E151" s="10" t="s">
        <v>41</v>
      </c>
      <c r="F151" s="10" t="s">
        <v>192</v>
      </c>
      <c r="G151" s="10" t="s">
        <v>42</v>
      </c>
      <c r="H151" s="10" t="s">
        <v>78</v>
      </c>
      <c r="I151" s="10" t="s">
        <v>23</v>
      </c>
      <c r="J151" s="10">
        <v>320703</v>
      </c>
      <c r="K151" s="10">
        <v>15</v>
      </c>
      <c r="L151" s="11">
        <v>43117</v>
      </c>
      <c r="M151" s="10">
        <v>4.4800000000000004</v>
      </c>
      <c r="N151" s="10" t="s">
        <v>212</v>
      </c>
      <c r="O151" s="10">
        <v>8811822315</v>
      </c>
      <c r="P151" s="11" t="s">
        <v>83</v>
      </c>
      <c r="Q151" s="12">
        <v>2018</v>
      </c>
    </row>
    <row r="152" spans="1:17" x14ac:dyDescent="0.3">
      <c r="A152" s="13">
        <v>1705</v>
      </c>
      <c r="B152" s="14" t="s">
        <v>85</v>
      </c>
      <c r="C152" s="14" t="s">
        <v>65</v>
      </c>
      <c r="D152" s="14">
        <v>22</v>
      </c>
      <c r="E152" s="14" t="s">
        <v>41</v>
      </c>
      <c r="F152" s="14" t="s">
        <v>192</v>
      </c>
      <c r="G152" s="14" t="s">
        <v>27</v>
      </c>
      <c r="H152" s="14" t="s">
        <v>22</v>
      </c>
      <c r="I152" s="14" t="s">
        <v>23</v>
      </c>
      <c r="J152" s="14">
        <v>320869</v>
      </c>
      <c r="K152" s="14">
        <v>4</v>
      </c>
      <c r="L152" s="15">
        <v>43206</v>
      </c>
      <c r="M152" s="14">
        <v>2.74</v>
      </c>
      <c r="N152" s="14" t="s">
        <v>213</v>
      </c>
      <c r="O152" s="14">
        <v>8783412520</v>
      </c>
      <c r="P152" s="15" t="s">
        <v>31</v>
      </c>
      <c r="Q152" s="16">
        <v>2018</v>
      </c>
    </row>
    <row r="153" spans="1:17" x14ac:dyDescent="0.3">
      <c r="A153" s="9">
        <v>322</v>
      </c>
      <c r="B153" s="10" t="s">
        <v>17</v>
      </c>
      <c r="C153" s="10" t="s">
        <v>18</v>
      </c>
      <c r="D153" s="10">
        <v>30</v>
      </c>
      <c r="E153" s="10" t="s">
        <v>41</v>
      </c>
      <c r="F153" s="10" t="s">
        <v>192</v>
      </c>
      <c r="G153" s="10" t="s">
        <v>42</v>
      </c>
      <c r="H153" s="10" t="s">
        <v>55</v>
      </c>
      <c r="I153" s="10" t="s">
        <v>50</v>
      </c>
      <c r="J153" s="10">
        <v>423419</v>
      </c>
      <c r="K153" s="10">
        <v>10</v>
      </c>
      <c r="L153" s="11">
        <v>43283</v>
      </c>
      <c r="M153" s="10">
        <v>3.79</v>
      </c>
      <c r="N153" s="10" t="s">
        <v>214</v>
      </c>
      <c r="O153" s="10">
        <v>7088555314</v>
      </c>
      <c r="P153" s="11" t="s">
        <v>38</v>
      </c>
      <c r="Q153" s="12">
        <v>2018</v>
      </c>
    </row>
    <row r="154" spans="1:17" x14ac:dyDescent="0.3">
      <c r="A154" s="13">
        <v>1956</v>
      </c>
      <c r="B154" s="14" t="s">
        <v>85</v>
      </c>
      <c r="C154" s="14" t="s">
        <v>18</v>
      </c>
      <c r="D154" s="14">
        <v>46</v>
      </c>
      <c r="E154" s="14" t="s">
        <v>19</v>
      </c>
      <c r="F154" s="14" t="s">
        <v>192</v>
      </c>
      <c r="G154" s="14" t="s">
        <v>42</v>
      </c>
      <c r="H154" s="14" t="s">
        <v>76</v>
      </c>
      <c r="I154" s="14" t="s">
        <v>23</v>
      </c>
      <c r="J154" s="14">
        <v>383557</v>
      </c>
      <c r="K154" s="14">
        <v>11</v>
      </c>
      <c r="L154" s="15">
        <v>43289</v>
      </c>
      <c r="M154" s="14">
        <v>3.56</v>
      </c>
      <c r="N154" s="14" t="s">
        <v>215</v>
      </c>
      <c r="O154" s="14">
        <v>7820482058</v>
      </c>
      <c r="P154" s="15" t="s">
        <v>38</v>
      </c>
      <c r="Q154" s="16">
        <v>2018</v>
      </c>
    </row>
    <row r="155" spans="1:17" x14ac:dyDescent="0.3">
      <c r="A155" s="9">
        <v>1136</v>
      </c>
      <c r="B155" s="10" t="s">
        <v>32</v>
      </c>
      <c r="C155" s="10" t="s">
        <v>33</v>
      </c>
      <c r="D155" s="10">
        <v>52</v>
      </c>
      <c r="E155" s="10" t="s">
        <v>19</v>
      </c>
      <c r="F155" s="10" t="s">
        <v>192</v>
      </c>
      <c r="G155" s="10" t="s">
        <v>55</v>
      </c>
      <c r="H155" s="10" t="s">
        <v>22</v>
      </c>
      <c r="I155" s="10" t="s">
        <v>62</v>
      </c>
      <c r="J155" s="10">
        <v>469931</v>
      </c>
      <c r="K155" s="10">
        <v>2</v>
      </c>
      <c r="L155" s="11">
        <v>43329</v>
      </c>
      <c r="M155" s="10">
        <v>2.4700000000000002</v>
      </c>
      <c r="N155" s="10" t="s">
        <v>216</v>
      </c>
      <c r="O155" s="10">
        <v>8489536359</v>
      </c>
      <c r="P155" s="11" t="s">
        <v>47</v>
      </c>
      <c r="Q155" s="12">
        <v>2018</v>
      </c>
    </row>
    <row r="156" spans="1:17" x14ac:dyDescent="0.3">
      <c r="A156" s="13">
        <v>465</v>
      </c>
      <c r="B156" s="14" t="s">
        <v>39</v>
      </c>
      <c r="C156" s="14" t="s">
        <v>45</v>
      </c>
      <c r="D156" s="14">
        <v>60</v>
      </c>
      <c r="E156" s="14" t="s">
        <v>41</v>
      </c>
      <c r="F156" s="14" t="s">
        <v>192</v>
      </c>
      <c r="G156" s="14" t="s">
        <v>34</v>
      </c>
      <c r="H156" s="14" t="s">
        <v>69</v>
      </c>
      <c r="I156" s="14" t="s">
        <v>23</v>
      </c>
      <c r="J156" s="14">
        <v>409688</v>
      </c>
      <c r="K156" s="14">
        <v>13</v>
      </c>
      <c r="L156" s="15">
        <v>42775</v>
      </c>
      <c r="M156" s="14">
        <v>2.81</v>
      </c>
      <c r="N156" s="14" t="s">
        <v>217</v>
      </c>
      <c r="O156" s="14">
        <v>9210983171</v>
      </c>
      <c r="P156" s="15" t="s">
        <v>59</v>
      </c>
      <c r="Q156" s="16">
        <v>2017</v>
      </c>
    </row>
    <row r="157" spans="1:17" x14ac:dyDescent="0.3">
      <c r="A157" s="9">
        <v>854</v>
      </c>
      <c r="B157" s="10" t="s">
        <v>44</v>
      </c>
      <c r="C157" s="10" t="s">
        <v>92</v>
      </c>
      <c r="D157" s="10">
        <v>31</v>
      </c>
      <c r="E157" s="10" t="s">
        <v>19</v>
      </c>
      <c r="F157" s="10" t="s">
        <v>192</v>
      </c>
      <c r="G157" s="10" t="s">
        <v>27</v>
      </c>
      <c r="H157" s="10" t="s">
        <v>22</v>
      </c>
      <c r="I157" s="10" t="s">
        <v>62</v>
      </c>
      <c r="J157" s="10">
        <v>379369</v>
      </c>
      <c r="K157" s="10">
        <v>10</v>
      </c>
      <c r="L157" s="11">
        <v>42868</v>
      </c>
      <c r="M157" s="10">
        <v>1.38</v>
      </c>
      <c r="N157" s="10" t="s">
        <v>218</v>
      </c>
      <c r="O157" s="10">
        <v>8185728421</v>
      </c>
      <c r="P157" s="11" t="s">
        <v>67</v>
      </c>
      <c r="Q157" s="12">
        <v>2017</v>
      </c>
    </row>
    <row r="158" spans="1:17" x14ac:dyDescent="0.3">
      <c r="A158" s="13">
        <v>1877</v>
      </c>
      <c r="B158" s="14" t="s">
        <v>48</v>
      </c>
      <c r="C158" s="14" t="s">
        <v>54</v>
      </c>
      <c r="D158" s="14">
        <v>26</v>
      </c>
      <c r="E158" s="14" t="s">
        <v>19</v>
      </c>
      <c r="F158" s="14" t="s">
        <v>192</v>
      </c>
      <c r="G158" s="14" t="s">
        <v>34</v>
      </c>
      <c r="H158" s="14" t="s">
        <v>35</v>
      </c>
      <c r="I158" s="14" t="s">
        <v>23</v>
      </c>
      <c r="J158" s="14">
        <v>308989</v>
      </c>
      <c r="K158" s="14">
        <v>1</v>
      </c>
      <c r="L158" s="15">
        <v>42922</v>
      </c>
      <c r="M158" s="14">
        <v>2.25</v>
      </c>
      <c r="N158" s="14" t="s">
        <v>219</v>
      </c>
      <c r="O158" s="14">
        <v>7487342828</v>
      </c>
      <c r="P158" s="15" t="s">
        <v>38</v>
      </c>
      <c r="Q158" s="16">
        <v>2017</v>
      </c>
    </row>
    <row r="159" spans="1:17" x14ac:dyDescent="0.3">
      <c r="A159" s="9">
        <v>1781</v>
      </c>
      <c r="B159" s="10" t="s">
        <v>26</v>
      </c>
      <c r="C159" s="10" t="s">
        <v>18</v>
      </c>
      <c r="D159" s="10">
        <v>40</v>
      </c>
      <c r="E159" s="10" t="s">
        <v>19</v>
      </c>
      <c r="F159" s="10" t="s">
        <v>192</v>
      </c>
      <c r="G159" s="10" t="s">
        <v>55</v>
      </c>
      <c r="H159" s="10" t="s">
        <v>22</v>
      </c>
      <c r="I159" s="10" t="s">
        <v>62</v>
      </c>
      <c r="J159" s="10">
        <v>359035</v>
      </c>
      <c r="K159" s="10">
        <v>17</v>
      </c>
      <c r="L159" s="11">
        <v>42371</v>
      </c>
      <c r="M159" s="10">
        <v>4.51</v>
      </c>
      <c r="N159" s="10" t="s">
        <v>220</v>
      </c>
      <c r="O159" s="10">
        <v>9523096128</v>
      </c>
      <c r="P159" s="11" t="s">
        <v>83</v>
      </c>
      <c r="Q159" s="12">
        <v>2016</v>
      </c>
    </row>
    <row r="160" spans="1:17" x14ac:dyDescent="0.3">
      <c r="A160" s="13">
        <v>1838</v>
      </c>
      <c r="B160" s="14" t="s">
        <v>32</v>
      </c>
      <c r="C160" s="14" t="s">
        <v>54</v>
      </c>
      <c r="D160" s="14">
        <v>30</v>
      </c>
      <c r="E160" s="14" t="s">
        <v>19</v>
      </c>
      <c r="F160" s="14" t="s">
        <v>192</v>
      </c>
      <c r="G160" s="14" t="s">
        <v>55</v>
      </c>
      <c r="H160" s="14" t="s">
        <v>55</v>
      </c>
      <c r="I160" s="14" t="s">
        <v>50</v>
      </c>
      <c r="J160" s="14">
        <v>498690</v>
      </c>
      <c r="K160" s="14">
        <v>16</v>
      </c>
      <c r="L160" s="15">
        <v>42499</v>
      </c>
      <c r="M160" s="14">
        <v>2.12</v>
      </c>
      <c r="N160" s="14" t="s">
        <v>221</v>
      </c>
      <c r="O160" s="14">
        <v>9791767279</v>
      </c>
      <c r="P160" s="15" t="s">
        <v>67</v>
      </c>
      <c r="Q160" s="16">
        <v>2016</v>
      </c>
    </row>
    <row r="161" spans="1:17" x14ac:dyDescent="0.3">
      <c r="A161" s="9">
        <v>252</v>
      </c>
      <c r="B161" s="10" t="s">
        <v>26</v>
      </c>
      <c r="C161" s="10" t="s">
        <v>81</v>
      </c>
      <c r="D161" s="10">
        <v>25</v>
      </c>
      <c r="E161" s="10" t="s">
        <v>41</v>
      </c>
      <c r="F161" s="10" t="s">
        <v>192</v>
      </c>
      <c r="G161" s="10" t="s">
        <v>27</v>
      </c>
      <c r="H161" s="10" t="s">
        <v>35</v>
      </c>
      <c r="I161" s="10" t="s">
        <v>29</v>
      </c>
      <c r="J161" s="10">
        <v>376671</v>
      </c>
      <c r="K161" s="10">
        <v>4</v>
      </c>
      <c r="L161" s="11">
        <v>42540</v>
      </c>
      <c r="M161" s="10">
        <v>2.79</v>
      </c>
      <c r="N161" s="10" t="s">
        <v>222</v>
      </c>
      <c r="O161" s="10">
        <v>8352513504</v>
      </c>
      <c r="P161" s="11" t="s">
        <v>90</v>
      </c>
      <c r="Q161" s="12">
        <v>2016</v>
      </c>
    </row>
    <row r="162" spans="1:17" x14ac:dyDescent="0.3">
      <c r="A162" s="13">
        <v>70</v>
      </c>
      <c r="B162" s="14" t="s">
        <v>85</v>
      </c>
      <c r="C162" s="14" t="s">
        <v>49</v>
      </c>
      <c r="D162" s="14">
        <v>27</v>
      </c>
      <c r="E162" s="14" t="s">
        <v>41</v>
      </c>
      <c r="F162" s="14" t="s">
        <v>192</v>
      </c>
      <c r="G162" s="14" t="s">
        <v>27</v>
      </c>
      <c r="H162" s="14" t="s">
        <v>22</v>
      </c>
      <c r="I162" s="14" t="s">
        <v>23</v>
      </c>
      <c r="J162" s="14">
        <v>404952</v>
      </c>
      <c r="K162" s="14">
        <v>8</v>
      </c>
      <c r="L162" s="15">
        <v>42579</v>
      </c>
      <c r="M162" s="14">
        <v>3.99</v>
      </c>
      <c r="N162" s="14" t="s">
        <v>223</v>
      </c>
      <c r="O162" s="14">
        <v>9684091303</v>
      </c>
      <c r="P162" s="15" t="s">
        <v>38</v>
      </c>
      <c r="Q162" s="16">
        <v>2016</v>
      </c>
    </row>
    <row r="163" spans="1:17" x14ac:dyDescent="0.3">
      <c r="A163" s="9">
        <v>1674</v>
      </c>
      <c r="B163" s="10" t="s">
        <v>26</v>
      </c>
      <c r="C163" s="10" t="s">
        <v>92</v>
      </c>
      <c r="D163" s="10">
        <v>56</v>
      </c>
      <c r="E163" s="10" t="s">
        <v>41</v>
      </c>
      <c r="F163" s="10" t="s">
        <v>192</v>
      </c>
      <c r="G163" s="10" t="s">
        <v>34</v>
      </c>
      <c r="H163" s="10" t="s">
        <v>35</v>
      </c>
      <c r="I163" s="10" t="s">
        <v>60</v>
      </c>
      <c r="J163" s="10">
        <v>347603</v>
      </c>
      <c r="K163" s="10">
        <v>19</v>
      </c>
      <c r="L163" s="11">
        <v>42708</v>
      </c>
      <c r="M163" s="10">
        <v>1.39</v>
      </c>
      <c r="N163" s="10" t="s">
        <v>224</v>
      </c>
      <c r="O163" s="10">
        <v>9194212455</v>
      </c>
      <c r="P163" s="11" t="s">
        <v>100</v>
      </c>
      <c r="Q163" s="12">
        <v>2016</v>
      </c>
    </row>
    <row r="164" spans="1:17" x14ac:dyDescent="0.3">
      <c r="A164" s="13">
        <v>1237</v>
      </c>
      <c r="B164" s="14" t="s">
        <v>85</v>
      </c>
      <c r="C164" s="14" t="s">
        <v>72</v>
      </c>
      <c r="D164" s="14">
        <v>33</v>
      </c>
      <c r="E164" s="14" t="s">
        <v>41</v>
      </c>
      <c r="F164" s="14" t="s">
        <v>192</v>
      </c>
      <c r="G164" s="14" t="s">
        <v>27</v>
      </c>
      <c r="H164" s="14" t="s">
        <v>22</v>
      </c>
      <c r="I164" s="14" t="s">
        <v>60</v>
      </c>
      <c r="J164" s="14">
        <v>466094</v>
      </c>
      <c r="K164" s="14">
        <v>18</v>
      </c>
      <c r="L164" s="15">
        <v>42065</v>
      </c>
      <c r="M164" s="14">
        <v>1.45</v>
      </c>
      <c r="N164" s="14" t="s">
        <v>225</v>
      </c>
      <c r="O164" s="14">
        <v>8517567709</v>
      </c>
      <c r="P164" s="15" t="s">
        <v>25</v>
      </c>
      <c r="Q164" s="16">
        <v>2015</v>
      </c>
    </row>
    <row r="165" spans="1:17" x14ac:dyDescent="0.3">
      <c r="A165" s="9">
        <v>1765</v>
      </c>
      <c r="B165" s="10" t="s">
        <v>32</v>
      </c>
      <c r="C165" s="10" t="s">
        <v>45</v>
      </c>
      <c r="D165" s="10">
        <v>41</v>
      </c>
      <c r="E165" s="10" t="s">
        <v>41</v>
      </c>
      <c r="F165" s="10" t="s">
        <v>192</v>
      </c>
      <c r="G165" s="10" t="s">
        <v>21</v>
      </c>
      <c r="H165" s="10" t="s">
        <v>22</v>
      </c>
      <c r="I165" s="10" t="s">
        <v>50</v>
      </c>
      <c r="J165" s="10">
        <v>496737</v>
      </c>
      <c r="K165" s="10">
        <v>4</v>
      </c>
      <c r="L165" s="11">
        <v>42089</v>
      </c>
      <c r="M165" s="10">
        <v>3.84</v>
      </c>
      <c r="N165" s="10" t="s">
        <v>226</v>
      </c>
      <c r="O165" s="10">
        <v>8336767560</v>
      </c>
      <c r="P165" s="11" t="s">
        <v>25</v>
      </c>
      <c r="Q165" s="12">
        <v>2015</v>
      </c>
    </row>
    <row r="166" spans="1:17" x14ac:dyDescent="0.3">
      <c r="A166" s="13">
        <v>1000</v>
      </c>
      <c r="B166" s="14" t="s">
        <v>53</v>
      </c>
      <c r="C166" s="14" t="s">
        <v>92</v>
      </c>
      <c r="D166" s="14">
        <v>38</v>
      </c>
      <c r="E166" s="14" t="s">
        <v>19</v>
      </c>
      <c r="F166" s="14" t="s">
        <v>192</v>
      </c>
      <c r="G166" s="14" t="s">
        <v>34</v>
      </c>
      <c r="H166" s="14" t="s">
        <v>28</v>
      </c>
      <c r="I166" s="14" t="s">
        <v>62</v>
      </c>
      <c r="J166" s="14">
        <v>445249</v>
      </c>
      <c r="K166" s="14">
        <v>14</v>
      </c>
      <c r="L166" s="15">
        <v>42161</v>
      </c>
      <c r="M166" s="14">
        <v>2.71</v>
      </c>
      <c r="N166" s="14" t="s">
        <v>227</v>
      </c>
      <c r="O166" s="14">
        <v>9222041508</v>
      </c>
      <c r="P166" s="15" t="s">
        <v>90</v>
      </c>
      <c r="Q166" s="16">
        <v>2015</v>
      </c>
    </row>
    <row r="167" spans="1:17" x14ac:dyDescent="0.3">
      <c r="A167" s="9">
        <v>1280</v>
      </c>
      <c r="B167" s="10" t="s">
        <v>44</v>
      </c>
      <c r="C167" s="10" t="s">
        <v>72</v>
      </c>
      <c r="D167" s="10">
        <v>33</v>
      </c>
      <c r="E167" s="10" t="s">
        <v>41</v>
      </c>
      <c r="F167" s="10" t="s">
        <v>192</v>
      </c>
      <c r="G167" s="10" t="s">
        <v>55</v>
      </c>
      <c r="H167" s="10" t="s">
        <v>28</v>
      </c>
      <c r="I167" s="10" t="s">
        <v>23</v>
      </c>
      <c r="J167" s="10">
        <v>309945</v>
      </c>
      <c r="K167" s="10">
        <v>17</v>
      </c>
      <c r="L167" s="11">
        <v>42180</v>
      </c>
      <c r="M167" s="10">
        <v>3.96</v>
      </c>
      <c r="N167" s="10" t="s">
        <v>228</v>
      </c>
      <c r="O167" s="10">
        <v>8848914285</v>
      </c>
      <c r="P167" s="11" t="s">
        <v>90</v>
      </c>
      <c r="Q167" s="12">
        <v>2015</v>
      </c>
    </row>
    <row r="168" spans="1:17" x14ac:dyDescent="0.3">
      <c r="A168" s="13">
        <v>1206</v>
      </c>
      <c r="B168" s="14" t="s">
        <v>103</v>
      </c>
      <c r="C168" s="14" t="s">
        <v>49</v>
      </c>
      <c r="D168" s="14">
        <v>56</v>
      </c>
      <c r="E168" s="14" t="s">
        <v>41</v>
      </c>
      <c r="F168" s="14" t="s">
        <v>192</v>
      </c>
      <c r="G168" s="14" t="s">
        <v>21</v>
      </c>
      <c r="H168" s="14" t="s">
        <v>69</v>
      </c>
      <c r="I168" s="14" t="s">
        <v>36</v>
      </c>
      <c r="J168" s="14">
        <v>337785</v>
      </c>
      <c r="K168" s="14">
        <v>12</v>
      </c>
      <c r="L168" s="15">
        <v>42216</v>
      </c>
      <c r="M168" s="14">
        <v>3.81</v>
      </c>
      <c r="N168" s="14" t="s">
        <v>229</v>
      </c>
      <c r="O168" s="14">
        <v>8787695639</v>
      </c>
      <c r="P168" s="15" t="s">
        <v>38</v>
      </c>
      <c r="Q168" s="16">
        <v>2015</v>
      </c>
    </row>
    <row r="169" spans="1:17" x14ac:dyDescent="0.3">
      <c r="A169" s="9">
        <v>774</v>
      </c>
      <c r="B169" s="10" t="s">
        <v>44</v>
      </c>
      <c r="C169" s="10" t="s">
        <v>81</v>
      </c>
      <c r="D169" s="10">
        <v>38</v>
      </c>
      <c r="E169" s="10" t="s">
        <v>19</v>
      </c>
      <c r="F169" s="10" t="s">
        <v>230</v>
      </c>
      <c r="G169" s="10" t="s">
        <v>55</v>
      </c>
      <c r="H169" s="10" t="s">
        <v>22</v>
      </c>
      <c r="I169" s="10" t="s">
        <v>29</v>
      </c>
      <c r="J169" s="10">
        <v>437722</v>
      </c>
      <c r="K169" s="10">
        <v>13</v>
      </c>
      <c r="L169" s="11">
        <v>45309</v>
      </c>
      <c r="M169" s="10">
        <v>1.54</v>
      </c>
      <c r="N169" s="10" t="s">
        <v>231</v>
      </c>
      <c r="O169" s="10">
        <v>9852989933</v>
      </c>
      <c r="P169" s="11" t="s">
        <v>83</v>
      </c>
      <c r="Q169" s="12">
        <v>2024</v>
      </c>
    </row>
    <row r="170" spans="1:17" x14ac:dyDescent="0.3">
      <c r="A170" s="13">
        <v>1946</v>
      </c>
      <c r="B170" s="14" t="s">
        <v>53</v>
      </c>
      <c r="C170" s="14" t="s">
        <v>65</v>
      </c>
      <c r="D170" s="14">
        <v>31</v>
      </c>
      <c r="E170" s="14" t="s">
        <v>41</v>
      </c>
      <c r="F170" s="14" t="s">
        <v>230</v>
      </c>
      <c r="G170" s="14" t="s">
        <v>76</v>
      </c>
      <c r="H170" s="14" t="s">
        <v>69</v>
      </c>
      <c r="I170" s="14" t="s">
        <v>23</v>
      </c>
      <c r="J170" s="14">
        <v>398249</v>
      </c>
      <c r="K170" s="14">
        <v>20</v>
      </c>
      <c r="L170" s="15">
        <v>45390</v>
      </c>
      <c r="M170" s="14">
        <v>2.34</v>
      </c>
      <c r="N170" s="14" t="s">
        <v>232</v>
      </c>
      <c r="O170" s="14">
        <v>9036482302</v>
      </c>
      <c r="P170" s="15" t="s">
        <v>31</v>
      </c>
      <c r="Q170" s="16">
        <v>2024</v>
      </c>
    </row>
    <row r="171" spans="1:17" x14ac:dyDescent="0.3">
      <c r="A171" s="9">
        <v>184</v>
      </c>
      <c r="B171" s="10" t="s">
        <v>32</v>
      </c>
      <c r="C171" s="10" t="s">
        <v>33</v>
      </c>
      <c r="D171" s="10">
        <v>40</v>
      </c>
      <c r="E171" s="10" t="s">
        <v>41</v>
      </c>
      <c r="F171" s="10" t="s">
        <v>230</v>
      </c>
      <c r="G171" s="10" t="s">
        <v>34</v>
      </c>
      <c r="H171" s="10" t="s">
        <v>22</v>
      </c>
      <c r="I171" s="10" t="s">
        <v>50</v>
      </c>
      <c r="J171" s="10">
        <v>469051</v>
      </c>
      <c r="K171" s="10">
        <v>4</v>
      </c>
      <c r="L171" s="11">
        <v>45593</v>
      </c>
      <c r="M171" s="10">
        <v>1.62</v>
      </c>
      <c r="N171" s="10" t="s">
        <v>233</v>
      </c>
      <c r="O171" s="10">
        <v>8662777314</v>
      </c>
      <c r="P171" s="11" t="s">
        <v>75</v>
      </c>
      <c r="Q171" s="12">
        <v>2024</v>
      </c>
    </row>
    <row r="172" spans="1:17" x14ac:dyDescent="0.3">
      <c r="A172" s="13">
        <v>714</v>
      </c>
      <c r="B172" s="14" t="s">
        <v>68</v>
      </c>
      <c r="C172" s="14" t="s">
        <v>49</v>
      </c>
      <c r="D172" s="14">
        <v>41</v>
      </c>
      <c r="E172" s="14" t="s">
        <v>41</v>
      </c>
      <c r="F172" s="14" t="s">
        <v>230</v>
      </c>
      <c r="G172" s="14" t="s">
        <v>42</v>
      </c>
      <c r="H172" s="14" t="s">
        <v>69</v>
      </c>
      <c r="I172" s="14" t="s">
        <v>62</v>
      </c>
      <c r="J172" s="14">
        <v>425216</v>
      </c>
      <c r="K172" s="14">
        <v>1</v>
      </c>
      <c r="L172" s="15">
        <v>45647</v>
      </c>
      <c r="M172" s="14">
        <v>4.25</v>
      </c>
      <c r="N172" s="14" t="s">
        <v>234</v>
      </c>
      <c r="O172" s="14">
        <v>8975543903</v>
      </c>
      <c r="P172" s="15" t="s">
        <v>100</v>
      </c>
      <c r="Q172" s="16">
        <v>2024</v>
      </c>
    </row>
    <row r="173" spans="1:17" x14ac:dyDescent="0.3">
      <c r="A173" s="9">
        <v>889</v>
      </c>
      <c r="B173" s="10" t="s">
        <v>85</v>
      </c>
      <c r="C173" s="10" t="s">
        <v>40</v>
      </c>
      <c r="D173" s="10">
        <v>55</v>
      </c>
      <c r="E173" s="10" t="s">
        <v>19</v>
      </c>
      <c r="F173" s="10" t="s">
        <v>230</v>
      </c>
      <c r="G173" s="10" t="s">
        <v>42</v>
      </c>
      <c r="H173" s="10" t="s">
        <v>28</v>
      </c>
      <c r="I173" s="10" t="s">
        <v>36</v>
      </c>
      <c r="J173" s="10">
        <v>401908</v>
      </c>
      <c r="K173" s="10">
        <v>5</v>
      </c>
      <c r="L173" s="11">
        <v>44989</v>
      </c>
      <c r="M173" s="10">
        <v>3.33</v>
      </c>
      <c r="N173" s="10" t="s">
        <v>235</v>
      </c>
      <c r="O173" s="10">
        <v>7308067436</v>
      </c>
      <c r="P173" s="11" t="s">
        <v>25</v>
      </c>
      <c r="Q173" s="12">
        <v>2023</v>
      </c>
    </row>
    <row r="174" spans="1:17" x14ac:dyDescent="0.3">
      <c r="A174" s="13">
        <v>289</v>
      </c>
      <c r="B174" s="14" t="s">
        <v>44</v>
      </c>
      <c r="C174" s="14" t="s">
        <v>40</v>
      </c>
      <c r="D174" s="14">
        <v>27</v>
      </c>
      <c r="E174" s="14" t="s">
        <v>41</v>
      </c>
      <c r="F174" s="14" t="s">
        <v>230</v>
      </c>
      <c r="G174" s="14" t="s">
        <v>27</v>
      </c>
      <c r="H174" s="14" t="s">
        <v>22</v>
      </c>
      <c r="I174" s="14" t="s">
        <v>23</v>
      </c>
      <c r="J174" s="14">
        <v>389725</v>
      </c>
      <c r="K174" s="14">
        <v>17</v>
      </c>
      <c r="L174" s="15">
        <v>45012</v>
      </c>
      <c r="M174" s="14">
        <v>1.22</v>
      </c>
      <c r="N174" s="14" t="s">
        <v>236</v>
      </c>
      <c r="O174" s="14">
        <v>8891297896</v>
      </c>
      <c r="P174" s="15" t="s">
        <v>25</v>
      </c>
      <c r="Q174" s="16">
        <v>2023</v>
      </c>
    </row>
    <row r="175" spans="1:17" x14ac:dyDescent="0.3">
      <c r="A175" s="9">
        <v>39</v>
      </c>
      <c r="B175" s="10" t="s">
        <v>48</v>
      </c>
      <c r="C175" s="10" t="s">
        <v>49</v>
      </c>
      <c r="D175" s="10">
        <v>33</v>
      </c>
      <c r="E175" s="10" t="s">
        <v>41</v>
      </c>
      <c r="F175" s="10" t="s">
        <v>230</v>
      </c>
      <c r="G175" s="10" t="s">
        <v>42</v>
      </c>
      <c r="H175" s="10" t="s">
        <v>22</v>
      </c>
      <c r="I175" s="10" t="s">
        <v>60</v>
      </c>
      <c r="J175" s="10">
        <v>401014</v>
      </c>
      <c r="K175" s="10">
        <v>14</v>
      </c>
      <c r="L175" s="11">
        <v>45033</v>
      </c>
      <c r="M175" s="10">
        <v>1.92</v>
      </c>
      <c r="N175" s="10" t="s">
        <v>237</v>
      </c>
      <c r="O175" s="10">
        <v>7517894596</v>
      </c>
      <c r="P175" s="11" t="s">
        <v>31</v>
      </c>
      <c r="Q175" s="12">
        <v>2023</v>
      </c>
    </row>
    <row r="176" spans="1:17" x14ac:dyDescent="0.3">
      <c r="A176" s="13">
        <v>765</v>
      </c>
      <c r="B176" s="14" t="s">
        <v>68</v>
      </c>
      <c r="C176" s="14" t="s">
        <v>81</v>
      </c>
      <c r="D176" s="14">
        <v>30</v>
      </c>
      <c r="E176" s="14" t="s">
        <v>19</v>
      </c>
      <c r="F176" s="14" t="s">
        <v>230</v>
      </c>
      <c r="G176" s="14" t="s">
        <v>21</v>
      </c>
      <c r="H176" s="14" t="s">
        <v>28</v>
      </c>
      <c r="I176" s="14" t="s">
        <v>23</v>
      </c>
      <c r="J176" s="14">
        <v>486780</v>
      </c>
      <c r="K176" s="14">
        <v>13</v>
      </c>
      <c r="L176" s="15">
        <v>45106</v>
      </c>
      <c r="M176" s="14">
        <v>1.83</v>
      </c>
      <c r="N176" s="14" t="s">
        <v>238</v>
      </c>
      <c r="O176" s="14">
        <v>7687067206</v>
      </c>
      <c r="P176" s="15" t="s">
        <v>90</v>
      </c>
      <c r="Q176" s="16">
        <v>2023</v>
      </c>
    </row>
    <row r="177" spans="1:17" x14ac:dyDescent="0.3">
      <c r="A177" s="9">
        <v>1170</v>
      </c>
      <c r="B177" s="10" t="s">
        <v>26</v>
      </c>
      <c r="C177" s="10" t="s">
        <v>40</v>
      </c>
      <c r="D177" s="10">
        <v>57</v>
      </c>
      <c r="E177" s="10" t="s">
        <v>19</v>
      </c>
      <c r="F177" s="10" t="s">
        <v>230</v>
      </c>
      <c r="G177" s="10" t="s">
        <v>21</v>
      </c>
      <c r="H177" s="10" t="s">
        <v>28</v>
      </c>
      <c r="I177" s="10" t="s">
        <v>23</v>
      </c>
      <c r="J177" s="10">
        <v>353045</v>
      </c>
      <c r="K177" s="10">
        <v>4</v>
      </c>
      <c r="L177" s="11">
        <v>44570</v>
      </c>
      <c r="M177" s="10">
        <v>3.93</v>
      </c>
      <c r="N177" s="10" t="s">
        <v>239</v>
      </c>
      <c r="O177" s="10">
        <v>7566355216</v>
      </c>
      <c r="P177" s="11" t="s">
        <v>83</v>
      </c>
      <c r="Q177" s="12">
        <v>2022</v>
      </c>
    </row>
    <row r="178" spans="1:17" x14ac:dyDescent="0.3">
      <c r="A178" s="13">
        <v>813</v>
      </c>
      <c r="B178" s="14" t="s">
        <v>44</v>
      </c>
      <c r="C178" s="14" t="s">
        <v>54</v>
      </c>
      <c r="D178" s="14">
        <v>38</v>
      </c>
      <c r="E178" s="14" t="s">
        <v>19</v>
      </c>
      <c r="F178" s="14" t="s">
        <v>230</v>
      </c>
      <c r="G178" s="14" t="s">
        <v>21</v>
      </c>
      <c r="H178" s="14" t="s">
        <v>28</v>
      </c>
      <c r="I178" s="14" t="s">
        <v>50</v>
      </c>
      <c r="J178" s="14">
        <v>414492</v>
      </c>
      <c r="K178" s="14">
        <v>9</v>
      </c>
      <c r="L178" s="15">
        <v>44576</v>
      </c>
      <c r="M178" s="14">
        <v>2.81</v>
      </c>
      <c r="N178" s="14" t="s">
        <v>240</v>
      </c>
      <c r="O178" s="14">
        <v>7571201348</v>
      </c>
      <c r="P178" s="15" t="s">
        <v>83</v>
      </c>
      <c r="Q178" s="16">
        <v>2022</v>
      </c>
    </row>
    <row r="179" spans="1:17" x14ac:dyDescent="0.3">
      <c r="A179" s="9">
        <v>140</v>
      </c>
      <c r="B179" s="10" t="s">
        <v>53</v>
      </c>
      <c r="C179" s="10" t="s">
        <v>92</v>
      </c>
      <c r="D179" s="10">
        <v>45</v>
      </c>
      <c r="E179" s="10" t="s">
        <v>41</v>
      </c>
      <c r="F179" s="10" t="s">
        <v>230</v>
      </c>
      <c r="G179" s="10" t="s">
        <v>42</v>
      </c>
      <c r="H179" s="10" t="s">
        <v>55</v>
      </c>
      <c r="I179" s="10" t="s">
        <v>50</v>
      </c>
      <c r="J179" s="10">
        <v>325593</v>
      </c>
      <c r="K179" s="10">
        <v>16</v>
      </c>
      <c r="L179" s="11">
        <v>44810</v>
      </c>
      <c r="M179" s="10">
        <v>3.42</v>
      </c>
      <c r="N179" s="10" t="s">
        <v>241</v>
      </c>
      <c r="O179" s="10">
        <v>7373232089</v>
      </c>
      <c r="P179" s="11" t="s">
        <v>52</v>
      </c>
      <c r="Q179" s="12">
        <v>2022</v>
      </c>
    </row>
    <row r="180" spans="1:17" x14ac:dyDescent="0.3">
      <c r="A180" s="13">
        <v>36</v>
      </c>
      <c r="B180" s="14" t="s">
        <v>17</v>
      </c>
      <c r="C180" s="14" t="s">
        <v>92</v>
      </c>
      <c r="D180" s="14">
        <v>31</v>
      </c>
      <c r="E180" s="14" t="s">
        <v>41</v>
      </c>
      <c r="F180" s="14" t="s">
        <v>230</v>
      </c>
      <c r="G180" s="14" t="s">
        <v>55</v>
      </c>
      <c r="H180" s="14" t="s">
        <v>35</v>
      </c>
      <c r="I180" s="14" t="s">
        <v>36</v>
      </c>
      <c r="J180" s="14">
        <v>490076</v>
      </c>
      <c r="K180" s="14">
        <v>14</v>
      </c>
      <c r="L180" s="15">
        <v>44209</v>
      </c>
      <c r="M180" s="14">
        <v>1.55</v>
      </c>
      <c r="N180" s="14" t="s">
        <v>242</v>
      </c>
      <c r="O180" s="14">
        <v>8730508076</v>
      </c>
      <c r="P180" s="15" t="s">
        <v>83</v>
      </c>
      <c r="Q180" s="16">
        <v>2021</v>
      </c>
    </row>
    <row r="181" spans="1:17" x14ac:dyDescent="0.3">
      <c r="A181" s="9">
        <v>771</v>
      </c>
      <c r="B181" s="10" t="s">
        <v>103</v>
      </c>
      <c r="C181" s="10" t="s">
        <v>33</v>
      </c>
      <c r="D181" s="10">
        <v>21</v>
      </c>
      <c r="E181" s="10" t="s">
        <v>19</v>
      </c>
      <c r="F181" s="10" t="s">
        <v>230</v>
      </c>
      <c r="G181" s="10" t="s">
        <v>21</v>
      </c>
      <c r="H181" s="10" t="s">
        <v>22</v>
      </c>
      <c r="I181" s="10" t="s">
        <v>36</v>
      </c>
      <c r="J181" s="10">
        <v>342237</v>
      </c>
      <c r="K181" s="10">
        <v>9</v>
      </c>
      <c r="L181" s="11">
        <v>44350</v>
      </c>
      <c r="M181" s="10">
        <v>2.62</v>
      </c>
      <c r="N181" s="10" t="s">
        <v>243</v>
      </c>
      <c r="O181" s="10">
        <v>8918204331</v>
      </c>
      <c r="P181" s="11" t="s">
        <v>90</v>
      </c>
      <c r="Q181" s="12">
        <v>2021</v>
      </c>
    </row>
    <row r="182" spans="1:17" x14ac:dyDescent="0.3">
      <c r="A182" s="13">
        <v>1307</v>
      </c>
      <c r="B182" s="14" t="s">
        <v>17</v>
      </c>
      <c r="C182" s="14" t="s">
        <v>40</v>
      </c>
      <c r="D182" s="14">
        <v>33</v>
      </c>
      <c r="E182" s="14" t="s">
        <v>19</v>
      </c>
      <c r="F182" s="14" t="s">
        <v>230</v>
      </c>
      <c r="G182" s="14" t="s">
        <v>21</v>
      </c>
      <c r="H182" s="14" t="s">
        <v>35</v>
      </c>
      <c r="I182" s="14" t="s">
        <v>23</v>
      </c>
      <c r="J182" s="14">
        <v>486528</v>
      </c>
      <c r="K182" s="14">
        <v>20</v>
      </c>
      <c r="L182" s="15">
        <v>44453</v>
      </c>
      <c r="M182" s="14">
        <v>1.41</v>
      </c>
      <c r="N182" s="14" t="s">
        <v>244</v>
      </c>
      <c r="O182" s="14">
        <v>8963121142</v>
      </c>
      <c r="P182" s="15" t="s">
        <v>52</v>
      </c>
      <c r="Q182" s="16">
        <v>2021</v>
      </c>
    </row>
    <row r="183" spans="1:17" x14ac:dyDescent="0.3">
      <c r="A183" s="9">
        <v>845</v>
      </c>
      <c r="B183" s="10" t="s">
        <v>17</v>
      </c>
      <c r="C183" s="10" t="s">
        <v>92</v>
      </c>
      <c r="D183" s="10">
        <v>57</v>
      </c>
      <c r="E183" s="10" t="s">
        <v>19</v>
      </c>
      <c r="F183" s="10" t="s">
        <v>230</v>
      </c>
      <c r="G183" s="10" t="s">
        <v>55</v>
      </c>
      <c r="H183" s="10" t="s">
        <v>22</v>
      </c>
      <c r="I183" s="10" t="s">
        <v>29</v>
      </c>
      <c r="J183" s="10">
        <v>385611</v>
      </c>
      <c r="K183" s="10">
        <v>5</v>
      </c>
      <c r="L183" s="11">
        <v>44495</v>
      </c>
      <c r="M183" s="10">
        <v>3.95</v>
      </c>
      <c r="N183" s="10" t="s">
        <v>245</v>
      </c>
      <c r="O183" s="10">
        <v>7378270469</v>
      </c>
      <c r="P183" s="11" t="s">
        <v>75</v>
      </c>
      <c r="Q183" s="12">
        <v>2021</v>
      </c>
    </row>
    <row r="184" spans="1:17" x14ac:dyDescent="0.3">
      <c r="A184" s="13">
        <v>790</v>
      </c>
      <c r="B184" s="14" t="s">
        <v>39</v>
      </c>
      <c r="C184" s="14" t="s">
        <v>45</v>
      </c>
      <c r="D184" s="14">
        <v>40</v>
      </c>
      <c r="E184" s="14" t="s">
        <v>19</v>
      </c>
      <c r="F184" s="14" t="s">
        <v>230</v>
      </c>
      <c r="G184" s="14" t="s">
        <v>21</v>
      </c>
      <c r="H184" s="14" t="s">
        <v>55</v>
      </c>
      <c r="I184" s="14" t="s">
        <v>50</v>
      </c>
      <c r="J184" s="14">
        <v>344107</v>
      </c>
      <c r="K184" s="14">
        <v>6</v>
      </c>
      <c r="L184" s="15">
        <v>43844</v>
      </c>
      <c r="M184" s="14">
        <v>1.77</v>
      </c>
      <c r="N184" s="14" t="s">
        <v>246</v>
      </c>
      <c r="O184" s="14">
        <v>8134122919</v>
      </c>
      <c r="P184" s="15" t="s">
        <v>83</v>
      </c>
      <c r="Q184" s="16">
        <v>2020</v>
      </c>
    </row>
    <row r="185" spans="1:17" x14ac:dyDescent="0.3">
      <c r="A185" s="9">
        <v>92</v>
      </c>
      <c r="B185" s="10" t="s">
        <v>39</v>
      </c>
      <c r="C185" s="10" t="s">
        <v>49</v>
      </c>
      <c r="D185" s="10">
        <v>39</v>
      </c>
      <c r="E185" s="10" t="s">
        <v>19</v>
      </c>
      <c r="F185" s="10" t="s">
        <v>230</v>
      </c>
      <c r="G185" s="10" t="s">
        <v>27</v>
      </c>
      <c r="H185" s="10" t="s">
        <v>69</v>
      </c>
      <c r="I185" s="10" t="s">
        <v>50</v>
      </c>
      <c r="J185" s="10">
        <v>328801</v>
      </c>
      <c r="K185" s="10">
        <v>0</v>
      </c>
      <c r="L185" s="11">
        <v>43912</v>
      </c>
      <c r="M185" s="10">
        <v>3.06</v>
      </c>
      <c r="N185" s="10" t="s">
        <v>247</v>
      </c>
      <c r="O185" s="10">
        <v>7183577810</v>
      </c>
      <c r="P185" s="11" t="s">
        <v>25</v>
      </c>
      <c r="Q185" s="12">
        <v>2020</v>
      </c>
    </row>
    <row r="186" spans="1:17" x14ac:dyDescent="0.3">
      <c r="A186" s="13">
        <v>731</v>
      </c>
      <c r="B186" s="14" t="s">
        <v>68</v>
      </c>
      <c r="C186" s="14" t="s">
        <v>49</v>
      </c>
      <c r="D186" s="14">
        <v>60</v>
      </c>
      <c r="E186" s="14" t="s">
        <v>41</v>
      </c>
      <c r="F186" s="14" t="s">
        <v>230</v>
      </c>
      <c r="G186" s="14" t="s">
        <v>42</v>
      </c>
      <c r="H186" s="14" t="s">
        <v>69</v>
      </c>
      <c r="I186" s="14" t="s">
        <v>29</v>
      </c>
      <c r="J186" s="14">
        <v>453898</v>
      </c>
      <c r="K186" s="14">
        <v>18</v>
      </c>
      <c r="L186" s="15">
        <v>44041</v>
      </c>
      <c r="M186" s="14">
        <v>3.98</v>
      </c>
      <c r="N186" s="14" t="s">
        <v>248</v>
      </c>
      <c r="O186" s="14">
        <v>9535156755</v>
      </c>
      <c r="P186" s="15" t="s">
        <v>38</v>
      </c>
      <c r="Q186" s="16">
        <v>2020</v>
      </c>
    </row>
    <row r="187" spans="1:17" x14ac:dyDescent="0.3">
      <c r="A187" s="9">
        <v>11</v>
      </c>
      <c r="B187" s="10" t="s">
        <v>48</v>
      </c>
      <c r="C187" s="10" t="s">
        <v>40</v>
      </c>
      <c r="D187" s="10">
        <v>39</v>
      </c>
      <c r="E187" s="10" t="s">
        <v>19</v>
      </c>
      <c r="F187" s="10" t="s">
        <v>230</v>
      </c>
      <c r="G187" s="10" t="s">
        <v>21</v>
      </c>
      <c r="H187" s="10" t="s">
        <v>35</v>
      </c>
      <c r="I187" s="10" t="s">
        <v>36</v>
      </c>
      <c r="J187" s="10">
        <v>374700</v>
      </c>
      <c r="K187" s="10">
        <v>6</v>
      </c>
      <c r="L187" s="11">
        <v>44163</v>
      </c>
      <c r="M187" s="10">
        <v>4.33</v>
      </c>
      <c r="N187" s="10" t="s">
        <v>249</v>
      </c>
      <c r="O187" s="10">
        <v>7414327795</v>
      </c>
      <c r="P187" s="11" t="s">
        <v>57</v>
      </c>
      <c r="Q187" s="12">
        <v>2020</v>
      </c>
    </row>
    <row r="188" spans="1:17" x14ac:dyDescent="0.3">
      <c r="A188" s="13">
        <v>126</v>
      </c>
      <c r="B188" s="14" t="s">
        <v>26</v>
      </c>
      <c r="C188" s="14" t="s">
        <v>81</v>
      </c>
      <c r="D188" s="14">
        <v>25</v>
      </c>
      <c r="E188" s="14" t="s">
        <v>41</v>
      </c>
      <c r="F188" s="14" t="s">
        <v>230</v>
      </c>
      <c r="G188" s="14" t="s">
        <v>27</v>
      </c>
      <c r="H188" s="14" t="s">
        <v>28</v>
      </c>
      <c r="I188" s="14" t="s">
        <v>23</v>
      </c>
      <c r="J188" s="14">
        <v>398925</v>
      </c>
      <c r="K188" s="14">
        <v>9</v>
      </c>
      <c r="L188" s="15">
        <v>43539</v>
      </c>
      <c r="M188" s="14">
        <v>4.4000000000000004</v>
      </c>
      <c r="N188" s="14" t="s">
        <v>250</v>
      </c>
      <c r="O188" s="14">
        <v>8777350833</v>
      </c>
      <c r="P188" s="15" t="s">
        <v>25</v>
      </c>
      <c r="Q188" s="16">
        <v>2019</v>
      </c>
    </row>
    <row r="189" spans="1:17" x14ac:dyDescent="0.3">
      <c r="A189" s="9">
        <v>1169</v>
      </c>
      <c r="B189" s="10" t="s">
        <v>39</v>
      </c>
      <c r="C189" s="10" t="s">
        <v>81</v>
      </c>
      <c r="D189" s="10">
        <v>26</v>
      </c>
      <c r="E189" s="10" t="s">
        <v>41</v>
      </c>
      <c r="F189" s="10" t="s">
        <v>230</v>
      </c>
      <c r="G189" s="10" t="s">
        <v>55</v>
      </c>
      <c r="H189" s="10" t="s">
        <v>22</v>
      </c>
      <c r="I189" s="10" t="s">
        <v>29</v>
      </c>
      <c r="J189" s="10">
        <v>330330</v>
      </c>
      <c r="K189" s="10">
        <v>9</v>
      </c>
      <c r="L189" s="11">
        <v>43725</v>
      </c>
      <c r="M189" s="10">
        <v>4.83</v>
      </c>
      <c r="N189" s="10" t="s">
        <v>251</v>
      </c>
      <c r="O189" s="10">
        <v>9518200297</v>
      </c>
      <c r="P189" s="11" t="s">
        <v>52</v>
      </c>
      <c r="Q189" s="12">
        <v>2019</v>
      </c>
    </row>
    <row r="190" spans="1:17" x14ac:dyDescent="0.3">
      <c r="A190" s="13">
        <v>262</v>
      </c>
      <c r="B190" s="14" t="s">
        <v>53</v>
      </c>
      <c r="C190" s="14" t="s">
        <v>54</v>
      </c>
      <c r="D190" s="14">
        <v>50</v>
      </c>
      <c r="E190" s="14" t="s">
        <v>19</v>
      </c>
      <c r="F190" s="14" t="s">
        <v>230</v>
      </c>
      <c r="G190" s="14" t="s">
        <v>21</v>
      </c>
      <c r="H190" s="14" t="s">
        <v>28</v>
      </c>
      <c r="I190" s="14" t="s">
        <v>62</v>
      </c>
      <c r="J190" s="14">
        <v>401985</v>
      </c>
      <c r="K190" s="14">
        <v>15</v>
      </c>
      <c r="L190" s="15">
        <v>43750</v>
      </c>
      <c r="M190" s="14">
        <v>2.14</v>
      </c>
      <c r="N190" s="14" t="s">
        <v>252</v>
      </c>
      <c r="O190" s="14">
        <v>9942151468</v>
      </c>
      <c r="P190" s="15" t="s">
        <v>75</v>
      </c>
      <c r="Q190" s="16">
        <v>2019</v>
      </c>
    </row>
    <row r="191" spans="1:17" x14ac:dyDescent="0.3">
      <c r="A191" s="9">
        <v>158</v>
      </c>
      <c r="B191" s="10" t="s">
        <v>48</v>
      </c>
      <c r="C191" s="10" t="s">
        <v>40</v>
      </c>
      <c r="D191" s="10">
        <v>51</v>
      </c>
      <c r="E191" s="10" t="s">
        <v>41</v>
      </c>
      <c r="F191" s="10" t="s">
        <v>230</v>
      </c>
      <c r="G191" s="10" t="s">
        <v>34</v>
      </c>
      <c r="H191" s="10" t="s">
        <v>78</v>
      </c>
      <c r="I191" s="10" t="s">
        <v>36</v>
      </c>
      <c r="J191" s="10">
        <v>400162</v>
      </c>
      <c r="K191" s="10">
        <v>9</v>
      </c>
      <c r="L191" s="11">
        <v>42909</v>
      </c>
      <c r="M191" s="10">
        <v>4.66</v>
      </c>
      <c r="N191" s="10" t="s">
        <v>253</v>
      </c>
      <c r="O191" s="10">
        <v>9270445572</v>
      </c>
      <c r="P191" s="11" t="s">
        <v>90</v>
      </c>
      <c r="Q191" s="12">
        <v>2017</v>
      </c>
    </row>
    <row r="192" spans="1:17" x14ac:dyDescent="0.3">
      <c r="A192" s="13">
        <v>267</v>
      </c>
      <c r="B192" s="14" t="s">
        <v>53</v>
      </c>
      <c r="C192" s="14" t="s">
        <v>18</v>
      </c>
      <c r="D192" s="14">
        <v>45</v>
      </c>
      <c r="E192" s="14" t="s">
        <v>19</v>
      </c>
      <c r="F192" s="14" t="s">
        <v>230</v>
      </c>
      <c r="G192" s="14" t="s">
        <v>55</v>
      </c>
      <c r="H192" s="14" t="s">
        <v>28</v>
      </c>
      <c r="I192" s="14" t="s">
        <v>23</v>
      </c>
      <c r="J192" s="14">
        <v>477418</v>
      </c>
      <c r="K192" s="14">
        <v>5</v>
      </c>
      <c r="L192" s="15">
        <v>42940</v>
      </c>
      <c r="M192" s="14">
        <v>3.98</v>
      </c>
      <c r="N192" s="14" t="s">
        <v>254</v>
      </c>
      <c r="O192" s="14">
        <v>9686740492</v>
      </c>
      <c r="P192" s="15" t="s">
        <v>38</v>
      </c>
      <c r="Q192" s="16">
        <v>2017</v>
      </c>
    </row>
    <row r="193" spans="1:17" x14ac:dyDescent="0.3">
      <c r="A193" s="9">
        <v>963</v>
      </c>
      <c r="B193" s="10" t="s">
        <v>48</v>
      </c>
      <c r="C193" s="10" t="s">
        <v>92</v>
      </c>
      <c r="D193" s="10">
        <v>43</v>
      </c>
      <c r="E193" s="10" t="s">
        <v>19</v>
      </c>
      <c r="F193" s="10" t="s">
        <v>230</v>
      </c>
      <c r="G193" s="10" t="s">
        <v>34</v>
      </c>
      <c r="H193" s="10" t="s">
        <v>28</v>
      </c>
      <c r="I193" s="10" t="s">
        <v>50</v>
      </c>
      <c r="J193" s="10">
        <v>330232</v>
      </c>
      <c r="K193" s="10">
        <v>3</v>
      </c>
      <c r="L193" s="11">
        <v>43000</v>
      </c>
      <c r="M193" s="10">
        <v>1.03</v>
      </c>
      <c r="N193" s="10" t="s">
        <v>255</v>
      </c>
      <c r="O193" s="10">
        <v>9375267641</v>
      </c>
      <c r="P193" s="11" t="s">
        <v>52</v>
      </c>
      <c r="Q193" s="12">
        <v>2017</v>
      </c>
    </row>
    <row r="194" spans="1:17" x14ac:dyDescent="0.3">
      <c r="A194" s="13">
        <v>1039</v>
      </c>
      <c r="B194" s="14" t="s">
        <v>85</v>
      </c>
      <c r="C194" s="14" t="s">
        <v>81</v>
      </c>
      <c r="D194" s="14">
        <v>39</v>
      </c>
      <c r="E194" s="14" t="s">
        <v>41</v>
      </c>
      <c r="F194" s="14" t="s">
        <v>230</v>
      </c>
      <c r="G194" s="14" t="s">
        <v>55</v>
      </c>
      <c r="H194" s="14" t="s">
        <v>78</v>
      </c>
      <c r="I194" s="14" t="s">
        <v>23</v>
      </c>
      <c r="J194" s="14">
        <v>483969</v>
      </c>
      <c r="K194" s="14">
        <v>9</v>
      </c>
      <c r="L194" s="15">
        <v>42374</v>
      </c>
      <c r="M194" s="14">
        <v>2.71</v>
      </c>
      <c r="N194" s="14" t="s">
        <v>256</v>
      </c>
      <c r="O194" s="14">
        <v>7328536833</v>
      </c>
      <c r="P194" s="15" t="s">
        <v>83</v>
      </c>
      <c r="Q194" s="16">
        <v>2016</v>
      </c>
    </row>
    <row r="195" spans="1:17" x14ac:dyDescent="0.3">
      <c r="A195" s="9">
        <v>383</v>
      </c>
      <c r="B195" s="10" t="s">
        <v>26</v>
      </c>
      <c r="C195" s="10" t="s">
        <v>92</v>
      </c>
      <c r="D195" s="10">
        <v>22</v>
      </c>
      <c r="E195" s="10" t="s">
        <v>41</v>
      </c>
      <c r="F195" s="10" t="s">
        <v>230</v>
      </c>
      <c r="G195" s="10" t="s">
        <v>55</v>
      </c>
      <c r="H195" s="10" t="s">
        <v>78</v>
      </c>
      <c r="I195" s="10" t="s">
        <v>62</v>
      </c>
      <c r="J195" s="10">
        <v>385905</v>
      </c>
      <c r="K195" s="10">
        <v>7</v>
      </c>
      <c r="L195" s="11">
        <v>42418</v>
      </c>
      <c r="M195" s="10">
        <v>1.66</v>
      </c>
      <c r="N195" s="10" t="s">
        <v>257</v>
      </c>
      <c r="O195" s="10">
        <v>7795584481</v>
      </c>
      <c r="P195" s="11" t="s">
        <v>59</v>
      </c>
      <c r="Q195" s="12">
        <v>2016</v>
      </c>
    </row>
    <row r="196" spans="1:17" x14ac:dyDescent="0.3">
      <c r="A196" s="13">
        <v>1478</v>
      </c>
      <c r="B196" s="14" t="s">
        <v>48</v>
      </c>
      <c r="C196" s="14" t="s">
        <v>81</v>
      </c>
      <c r="D196" s="14">
        <v>41</v>
      </c>
      <c r="E196" s="14" t="s">
        <v>41</v>
      </c>
      <c r="F196" s="14" t="s">
        <v>230</v>
      </c>
      <c r="G196" s="14" t="s">
        <v>34</v>
      </c>
      <c r="H196" s="14" t="s">
        <v>22</v>
      </c>
      <c r="I196" s="14" t="s">
        <v>60</v>
      </c>
      <c r="J196" s="14">
        <v>333735</v>
      </c>
      <c r="K196" s="14">
        <v>0</v>
      </c>
      <c r="L196" s="15">
        <v>42516</v>
      </c>
      <c r="M196" s="14">
        <v>2.4300000000000002</v>
      </c>
      <c r="N196" s="14" t="s">
        <v>258</v>
      </c>
      <c r="O196" s="14">
        <v>7600163320</v>
      </c>
      <c r="P196" s="15" t="s">
        <v>67</v>
      </c>
      <c r="Q196" s="16">
        <v>2016</v>
      </c>
    </row>
    <row r="197" spans="1:17" x14ac:dyDescent="0.3">
      <c r="A197" s="9">
        <v>1452</v>
      </c>
      <c r="B197" s="10" t="s">
        <v>103</v>
      </c>
      <c r="C197" s="10" t="s">
        <v>49</v>
      </c>
      <c r="D197" s="10">
        <v>55</v>
      </c>
      <c r="E197" s="10" t="s">
        <v>19</v>
      </c>
      <c r="F197" s="10" t="s">
        <v>230</v>
      </c>
      <c r="G197" s="10" t="s">
        <v>55</v>
      </c>
      <c r="H197" s="10" t="s">
        <v>22</v>
      </c>
      <c r="I197" s="10" t="s">
        <v>36</v>
      </c>
      <c r="J197" s="10">
        <v>480550</v>
      </c>
      <c r="K197" s="10">
        <v>14</v>
      </c>
      <c r="L197" s="11">
        <v>42520</v>
      </c>
      <c r="M197" s="10">
        <v>3.38</v>
      </c>
      <c r="N197" s="10" t="s">
        <v>259</v>
      </c>
      <c r="O197" s="10">
        <v>9313624503</v>
      </c>
      <c r="P197" s="11" t="s">
        <v>67</v>
      </c>
      <c r="Q197" s="12">
        <v>2016</v>
      </c>
    </row>
    <row r="198" spans="1:17" x14ac:dyDescent="0.3">
      <c r="A198" s="13">
        <v>1821</v>
      </c>
      <c r="B198" s="14" t="s">
        <v>48</v>
      </c>
      <c r="C198" s="14" t="s">
        <v>54</v>
      </c>
      <c r="D198" s="14">
        <v>31</v>
      </c>
      <c r="E198" s="14" t="s">
        <v>41</v>
      </c>
      <c r="F198" s="14" t="s">
        <v>230</v>
      </c>
      <c r="G198" s="14" t="s">
        <v>34</v>
      </c>
      <c r="H198" s="14" t="s">
        <v>55</v>
      </c>
      <c r="I198" s="14" t="s">
        <v>23</v>
      </c>
      <c r="J198" s="14">
        <v>356966</v>
      </c>
      <c r="K198" s="14">
        <v>19</v>
      </c>
      <c r="L198" s="15">
        <v>42628</v>
      </c>
      <c r="M198" s="14">
        <v>2.19</v>
      </c>
      <c r="N198" s="14" t="s">
        <v>260</v>
      </c>
      <c r="O198" s="14">
        <v>8464051181</v>
      </c>
      <c r="P198" s="15" t="s">
        <v>52</v>
      </c>
      <c r="Q198" s="16">
        <v>2016</v>
      </c>
    </row>
    <row r="199" spans="1:17" x14ac:dyDescent="0.3">
      <c r="A199" s="9">
        <v>273</v>
      </c>
      <c r="B199" s="10" t="s">
        <v>44</v>
      </c>
      <c r="C199" s="10" t="s">
        <v>65</v>
      </c>
      <c r="D199" s="10">
        <v>57</v>
      </c>
      <c r="E199" s="10" t="s">
        <v>41</v>
      </c>
      <c r="F199" s="10" t="s">
        <v>230</v>
      </c>
      <c r="G199" s="10" t="s">
        <v>42</v>
      </c>
      <c r="H199" s="10" t="s">
        <v>69</v>
      </c>
      <c r="I199" s="10" t="s">
        <v>36</v>
      </c>
      <c r="J199" s="10">
        <v>387648</v>
      </c>
      <c r="K199" s="10">
        <v>12</v>
      </c>
      <c r="L199" s="11">
        <v>42005</v>
      </c>
      <c r="M199" s="10">
        <v>1.72</v>
      </c>
      <c r="N199" s="10" t="s">
        <v>261</v>
      </c>
      <c r="O199" s="10">
        <v>9549270849</v>
      </c>
      <c r="P199" s="11" t="s">
        <v>83</v>
      </c>
      <c r="Q199" s="12">
        <v>2015</v>
      </c>
    </row>
    <row r="200" spans="1:17" x14ac:dyDescent="0.3">
      <c r="A200" s="13">
        <v>874</v>
      </c>
      <c r="B200" s="14" t="s">
        <v>68</v>
      </c>
      <c r="C200" s="14" t="s">
        <v>18</v>
      </c>
      <c r="D200" s="14">
        <v>47</v>
      </c>
      <c r="E200" s="14" t="s">
        <v>41</v>
      </c>
      <c r="F200" s="14" t="s">
        <v>230</v>
      </c>
      <c r="G200" s="14" t="s">
        <v>34</v>
      </c>
      <c r="H200" s="14" t="s">
        <v>69</v>
      </c>
      <c r="I200" s="14" t="s">
        <v>50</v>
      </c>
      <c r="J200" s="14">
        <v>465271</v>
      </c>
      <c r="K200" s="14">
        <v>11</v>
      </c>
      <c r="L200" s="15">
        <v>42005</v>
      </c>
      <c r="M200" s="14">
        <v>1.88</v>
      </c>
      <c r="N200" s="14" t="s">
        <v>262</v>
      </c>
      <c r="O200" s="14">
        <v>8957587184</v>
      </c>
      <c r="P200" s="15" t="s">
        <v>83</v>
      </c>
      <c r="Q200" s="16">
        <v>2015</v>
      </c>
    </row>
    <row r="201" spans="1:17" x14ac:dyDescent="0.3">
      <c r="A201" s="2">
        <v>1589</v>
      </c>
      <c r="B201" s="3" t="s">
        <v>53</v>
      </c>
      <c r="C201" s="3" t="s">
        <v>81</v>
      </c>
      <c r="D201" s="3">
        <v>42</v>
      </c>
      <c r="E201" s="3" t="s">
        <v>19</v>
      </c>
      <c r="F201" s="3" t="s">
        <v>230</v>
      </c>
      <c r="G201" s="3" t="s">
        <v>42</v>
      </c>
      <c r="H201" s="3" t="s">
        <v>35</v>
      </c>
      <c r="I201" s="3" t="s">
        <v>29</v>
      </c>
      <c r="J201" s="3">
        <v>381195</v>
      </c>
      <c r="K201" s="3">
        <v>4</v>
      </c>
      <c r="L201" s="17">
        <v>42147</v>
      </c>
      <c r="M201" s="3">
        <v>2.36</v>
      </c>
      <c r="N201" s="3" t="s">
        <v>263</v>
      </c>
      <c r="O201" s="3">
        <v>9482399908</v>
      </c>
      <c r="P201" s="17" t="s">
        <v>67</v>
      </c>
      <c r="Q201" s="4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2026-08-08T09:27:27Z</dcterms:modified>
</cp:coreProperties>
</file>