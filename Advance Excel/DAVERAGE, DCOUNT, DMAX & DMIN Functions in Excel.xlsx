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ushikesh\OneDrive\Desktop\Data Analytics By CWH\Advance Excel\"/>
    </mc:Choice>
  </mc:AlternateContent>
  <xr:revisionPtr revIDLastSave="0" documentId="13_ncr:1_{92BA049A-1744-474B-9593-DC5589FE2B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0" i="1" l="1"/>
  <c r="V25" i="1"/>
  <c r="V20" i="1"/>
  <c r="V16" i="1"/>
  <c r="V9" i="1"/>
</calcChain>
</file>

<file path=xl/sharedStrings.xml><?xml version="1.0" encoding="utf-8"?>
<sst xmlns="http://schemas.openxmlformats.org/spreadsheetml/2006/main" count="1780" uniqueCount="265">
  <si>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</si>
  <si>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</si>
  <si>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</si>
  <si>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</si>
  <si>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</si>
  <si>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</si>
  <si>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</si>
  <si>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</si>
  <si>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</si>
  <si>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</si>
  <si>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</si>
  <si>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</si>
  <si>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</si>
  <si>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</si>
  <si>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</si>
  <si>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Month</t>
  </si>
  <si>
    <t>Year</t>
  </si>
  <si>
    <t>Reyansh</t>
  </si>
  <si>
    <t>Mehta</t>
  </si>
  <si>
    <t>Male</t>
  </si>
  <si>
    <t>Australia</t>
  </si>
  <si>
    <t>Tamil Nadu</t>
  </si>
  <si>
    <t>Chennai</t>
  </si>
  <si>
    <t>Engineering</t>
  </si>
  <si>
    <t>reyansh.mehta523@example.com</t>
  </si>
  <si>
    <t>March</t>
  </si>
  <si>
    <t>Krishna</t>
  </si>
  <si>
    <t>UP</t>
  </si>
  <si>
    <t>Hyderabad</t>
  </si>
  <si>
    <t>HR</t>
  </si>
  <si>
    <t>krishna.mehta1014@example.com</t>
  </si>
  <si>
    <t>April</t>
  </si>
  <si>
    <t>Ishaan</t>
  </si>
  <si>
    <t>Patel</t>
  </si>
  <si>
    <t>Maharashtra</t>
  </si>
  <si>
    <t>Bangalore</t>
  </si>
  <si>
    <t>Finance</t>
  </si>
  <si>
    <t>ishaan.patel1132@example.com</t>
  </si>
  <si>
    <t>July</t>
  </si>
  <si>
    <t>Arjun</t>
  </si>
  <si>
    <t>Das</t>
  </si>
  <si>
    <t>Female</t>
  </si>
  <si>
    <t>Karnataka</t>
  </si>
  <si>
    <t>arjun.das586@example.com</t>
  </si>
  <si>
    <t>Sai</t>
  </si>
  <si>
    <t>Sharma</t>
  </si>
  <si>
    <t>sai.sharma951@example.com</t>
  </si>
  <si>
    <t>August</t>
  </si>
  <si>
    <t>Aarav</t>
  </si>
  <si>
    <t>Nair</t>
  </si>
  <si>
    <t>Operations</t>
  </si>
  <si>
    <t>aarav.nair1487@example.com</t>
  </si>
  <si>
    <t>September</t>
  </si>
  <si>
    <t>Kabir</t>
  </si>
  <si>
    <t>Khan</t>
  </si>
  <si>
    <t>Delhii</t>
  </si>
  <si>
    <t>kabir.khan1198@example.com</t>
  </si>
  <si>
    <t>November</t>
  </si>
  <si>
    <t>aarav.sharma1523@example.com</t>
  </si>
  <si>
    <t>February</t>
  </si>
  <si>
    <t>Sales</t>
  </si>
  <si>
    <t>sai.das1883@example.com</t>
  </si>
  <si>
    <t>Marketing</t>
  </si>
  <si>
    <t>aarav.das470@example.com</t>
  </si>
  <si>
    <t>krishna.sharma887@example.com</t>
  </si>
  <si>
    <t>Reddy</t>
  </si>
  <si>
    <t>krishna.reddy20@example.com</t>
  </si>
  <si>
    <t>May</t>
  </si>
  <si>
    <t>Vihaan</t>
  </si>
  <si>
    <t>Lucknow</t>
  </si>
  <si>
    <t>vihaan.das1602@example.com</t>
  </si>
  <si>
    <t>kabir.patel730@example.com</t>
  </si>
  <si>
    <t>Gupta</t>
  </si>
  <si>
    <t>krishna.gupta867@example.com</t>
  </si>
  <si>
    <t>reyansh.das677@example.com</t>
  </si>
  <si>
    <t>October</t>
  </si>
  <si>
    <t>Delhiii</t>
  </si>
  <si>
    <t>vihaan.patel1961@example.com</t>
  </si>
  <si>
    <t>Mumbai</t>
  </si>
  <si>
    <t>sai.khan191@example.com</t>
  </si>
  <si>
    <t>arjun.sharma360@example.com</t>
  </si>
  <si>
    <t>Singh</t>
  </si>
  <si>
    <t>krishna.singh1812@example.com</t>
  </si>
  <si>
    <t>January</t>
  </si>
  <si>
    <t>krishna.mehta210@example.com</t>
  </si>
  <si>
    <t>Aditya</t>
  </si>
  <si>
    <t>aditya.nair620@example.com</t>
  </si>
  <si>
    <t>reyansh.nair142@example.com</t>
  </si>
  <si>
    <t>reyansh.mehta1355@example.com</t>
  </si>
  <si>
    <t>reyansh.khan1286@example.com</t>
  </si>
  <si>
    <t>June</t>
  </si>
  <si>
    <t>vihaan.singh1191@example.com</t>
  </si>
  <si>
    <t>Verma</t>
  </si>
  <si>
    <t>aditya.verma1968@example.com</t>
  </si>
  <si>
    <t>krishna.verma1856@example.com</t>
  </si>
  <si>
    <t>ishaan.verma1725@example.com</t>
  </si>
  <si>
    <t>vihaan.nair1359@example.com</t>
  </si>
  <si>
    <t>aditya.khan354@example.com</t>
  </si>
  <si>
    <t>vihaan.khan1928@example.com</t>
  </si>
  <si>
    <t>sai.sharma537@example.com</t>
  </si>
  <si>
    <t>December</t>
  </si>
  <si>
    <t>arjun.verma847@example.com</t>
  </si>
  <si>
    <t>vihaan.reddy425@example.com</t>
  </si>
  <si>
    <t>Vivaan</t>
  </si>
  <si>
    <t>vivaan.gupta29@example.com</t>
  </si>
  <si>
    <t>reyansh.mehta1679@example.com</t>
  </si>
  <si>
    <t>vivaan.patel890@example.com</t>
  </si>
  <si>
    <t>kabir.reddy1344@example.com</t>
  </si>
  <si>
    <t>Canada</t>
  </si>
  <si>
    <t>kabir.patel1896@example.com</t>
  </si>
  <si>
    <t>sai.sharma725@example.com</t>
  </si>
  <si>
    <t>reyansh.nair1710@example.com</t>
  </si>
  <si>
    <t>ishaan.sharma1738@example.com</t>
  </si>
  <si>
    <t>kabir.verma528@example.com</t>
  </si>
  <si>
    <t>reyansh.sharma841@example.com</t>
  </si>
  <si>
    <t>reyansh.gupta1671@example.com</t>
  </si>
  <si>
    <t>vihaan.verma54@example.com</t>
  </si>
  <si>
    <t>aditya.nair1862@example.com</t>
  </si>
  <si>
    <t>vihaan.patel994@example.com</t>
  </si>
  <si>
    <t>aditya.das487@example.com</t>
  </si>
  <si>
    <t>vihaan.gupta1104@example.com</t>
  </si>
  <si>
    <t>reyansh.verma1586@example.com</t>
  </si>
  <si>
    <t>kabir.khan1951@example.com</t>
  </si>
  <si>
    <t>ishaan.nair458@example.com</t>
  </si>
  <si>
    <t>vivaan.sharma1980@example.com</t>
  </si>
  <si>
    <t>arjun.das395@example.com</t>
  </si>
  <si>
    <t>kabir.singh1913@example.com</t>
  </si>
  <si>
    <t>krishna.nair814@example.com</t>
  </si>
  <si>
    <t>aarav.mehta1809@example.com</t>
  </si>
  <si>
    <t>sai.gupta1827@example.com</t>
  </si>
  <si>
    <t>vivaan.sharma1419@example.com</t>
  </si>
  <si>
    <t>arjun.das1485@example.com</t>
  </si>
  <si>
    <t>reyansh.gupta593@example.com</t>
  </si>
  <si>
    <t>ishaan.patel1291@example.com</t>
  </si>
  <si>
    <t>kabir.gupta996@example.com</t>
  </si>
  <si>
    <t>aditya.reddy174@example.com</t>
  </si>
  <si>
    <t>vivaan.mehta1706@example.com</t>
  </si>
  <si>
    <t>sai.gupta1257@example.com</t>
  </si>
  <si>
    <t>reyansh.das1516@example.com</t>
  </si>
  <si>
    <t>sai.gupta830@example.com</t>
  </si>
  <si>
    <t>vivaan.das1726@example.com</t>
  </si>
  <si>
    <t>reyansh.patel522@example.com</t>
  </si>
  <si>
    <t>aarav.mehta1068@example.com</t>
  </si>
  <si>
    <t>kabir.reddy97@example.com</t>
  </si>
  <si>
    <t>ishaan.sharma21@example.com</t>
  </si>
  <si>
    <t>reyansh.sharma1122@example.com</t>
  </si>
  <si>
    <t>vihaan.singh138@example.com</t>
  </si>
  <si>
    <t>India</t>
  </si>
  <si>
    <t>aarav.das421@example.com</t>
  </si>
  <si>
    <t>reyansh.gupta1001@example.com</t>
  </si>
  <si>
    <t>aditya.singh362@example.com</t>
  </si>
  <si>
    <t>krishna.singh1769@example.com</t>
  </si>
  <si>
    <t>reyansh.verma314@example.com</t>
  </si>
  <si>
    <t>reyansh.singh1680@example.com</t>
  </si>
  <si>
    <t>ishaan.verma1477@example.com</t>
  </si>
  <si>
    <t>vihaan.mehta852@example.com</t>
  </si>
  <si>
    <t>arjun.verma1969@example.com</t>
  </si>
  <si>
    <t>kabir.gupta1958@example.com</t>
  </si>
  <si>
    <t>ishaan.nair898@example.com</t>
  </si>
  <si>
    <t>krishna.mehta1090@example.com</t>
  </si>
  <si>
    <t>aarav.sharma245@example.com</t>
  </si>
  <si>
    <t>vivaan.singh685@example.com</t>
  </si>
  <si>
    <t>vivaan.khan833@example.com</t>
  </si>
  <si>
    <t>kabir.mehta995@example.com</t>
  </si>
  <si>
    <t>vihaan.nair970@example.com</t>
  </si>
  <si>
    <t>vihaan.reddy194@example.com</t>
  </si>
  <si>
    <t>kabir.verma320@example.com</t>
  </si>
  <si>
    <t>sai.patel1308@example.com</t>
  </si>
  <si>
    <t>sai.mehta549@example.com</t>
  </si>
  <si>
    <t>vihaan.khan1879@example.com</t>
  </si>
  <si>
    <t>kabir.mehta1253@example.com</t>
  </si>
  <si>
    <t>aditya.verma216@example.com</t>
  </si>
  <si>
    <t>vihaan.sharma441@example.com</t>
  </si>
  <si>
    <t>reyansh.khan190@example.com</t>
  </si>
  <si>
    <t>krishna.sharma1311@example.com</t>
  </si>
  <si>
    <t>sai.gupta146@example.com</t>
  </si>
  <si>
    <t>vivaan.verma606@example.com</t>
  </si>
  <si>
    <t>ishaan.mehta1573@example.com</t>
  </si>
  <si>
    <t>ishaan.reddy1857@example.com</t>
  </si>
  <si>
    <t>krishna.patel1181@example.com</t>
  </si>
  <si>
    <t>vivaan.patel1480@example.com</t>
  </si>
  <si>
    <t>arjun.sharma1095@example.com</t>
  </si>
  <si>
    <t>kabir.patel1521@example.com</t>
  </si>
  <si>
    <t>sai.das393@example.com</t>
  </si>
  <si>
    <t>vihaan.verma161@example.com</t>
  </si>
  <si>
    <t>ishaan.nair1743@example.com</t>
  </si>
  <si>
    <t>arjun.khan1571@example.com</t>
  </si>
  <si>
    <t>ishaan.reddy1562@example.com</t>
  </si>
  <si>
    <t>vivaan.khan933@example.com</t>
  </si>
  <si>
    <t>vivaan.sharma1@example.com</t>
  </si>
  <si>
    <t>aarav.reddy832@example.com</t>
  </si>
  <si>
    <t>kabir.reddy228@example.com</t>
  </si>
  <si>
    <t>UK</t>
  </si>
  <si>
    <t>ishaan.khan98@example.com</t>
  </si>
  <si>
    <t>aditya.gupta63@example.com</t>
  </si>
  <si>
    <t>kabir.singh498@example.com</t>
  </si>
  <si>
    <t>reyansh.khan277@example.com</t>
  </si>
  <si>
    <t>vivaan.singh1837@example.com</t>
  </si>
  <si>
    <t>krishna.sharma1395@example.com</t>
  </si>
  <si>
    <t>arjun.sharma1048@example.com</t>
  </si>
  <si>
    <t>kabir.sharma526@example.com</t>
  </si>
  <si>
    <t>vivaan.verma1029@example.com</t>
  </si>
  <si>
    <t>aarav.gupta1610@example.com</t>
  </si>
  <si>
    <t>aarav.khan1220@example.com</t>
  </si>
  <si>
    <t>vivaan.patel1998@example.com</t>
  </si>
  <si>
    <t>krishna.mehta363@example.com</t>
  </si>
  <si>
    <t>reyansh.gupta1360@example.com</t>
  </si>
  <si>
    <t>krishna.verma899@example.com</t>
  </si>
  <si>
    <t>aarav.das1514@example.com</t>
  </si>
  <si>
    <t>krishna.patel1195@example.com</t>
  </si>
  <si>
    <t>ishaan.mehta440@example.com</t>
  </si>
  <si>
    <t>aarav.mehta980@example.com</t>
  </si>
  <si>
    <t>sai.verma612@example.com</t>
  </si>
  <si>
    <t>aditya.reddy1705@example.com</t>
  </si>
  <si>
    <t>reyansh.mehta322@example.com</t>
  </si>
  <si>
    <t>aditya.mehta1956@example.com</t>
  </si>
  <si>
    <t>ishaan.patel1136@example.com</t>
  </si>
  <si>
    <t>arjun.sharma465@example.com</t>
  </si>
  <si>
    <t>sai.verma854@example.com</t>
  </si>
  <si>
    <t>aarav.khan1877@example.com</t>
  </si>
  <si>
    <t>krishna.mehta1781@example.com</t>
  </si>
  <si>
    <t>ishaan.khan1838@example.com</t>
  </si>
  <si>
    <t>krishna.singh252@example.com</t>
  </si>
  <si>
    <t>aditya.nair70@example.com</t>
  </si>
  <si>
    <t>krishna.verma1674@example.com</t>
  </si>
  <si>
    <t>aditya.gupta1237@example.com</t>
  </si>
  <si>
    <t>ishaan.sharma1765@example.com</t>
  </si>
  <si>
    <t>kabir.verma1000@example.com</t>
  </si>
  <si>
    <t>sai.gupta1280@example.com</t>
  </si>
  <si>
    <t>vivaan.nair1206@example.com</t>
  </si>
  <si>
    <t>USA</t>
  </si>
  <si>
    <t>sai.singh774@example.com</t>
  </si>
  <si>
    <t>kabir.reddy1946@example.com</t>
  </si>
  <si>
    <t>ishaan.patel184@example.com</t>
  </si>
  <si>
    <t>vihaan.nair714@example.com</t>
  </si>
  <si>
    <t>aditya.das889@example.com</t>
  </si>
  <si>
    <t>sai.das289@example.com</t>
  </si>
  <si>
    <t>aarav.nair39@example.com</t>
  </si>
  <si>
    <t>vihaan.singh765@example.com</t>
  </si>
  <si>
    <t>krishna.das1170@example.com</t>
  </si>
  <si>
    <t>sai.khan813@example.com</t>
  </si>
  <si>
    <t>kabir.verma140@example.com</t>
  </si>
  <si>
    <t>reyansh.verma36@example.com</t>
  </si>
  <si>
    <t>vivaan.patel771@example.com</t>
  </si>
  <si>
    <t>reyansh.das1307@example.com</t>
  </si>
  <si>
    <t>reyansh.verma845@example.com</t>
  </si>
  <si>
    <t>arjun.sharma790@example.com</t>
  </si>
  <si>
    <t>arjun.nair92@example.com</t>
  </si>
  <si>
    <t>vihaan.nair731@example.com</t>
  </si>
  <si>
    <t>aarav.das11@example.com</t>
  </si>
  <si>
    <t>krishna.singh126@example.com</t>
  </si>
  <si>
    <t>arjun.singh1169@example.com</t>
  </si>
  <si>
    <t>kabir.khan262@example.com</t>
  </si>
  <si>
    <t>aarav.das158@example.com</t>
  </si>
  <si>
    <t>kabir.mehta267@example.com</t>
  </si>
  <si>
    <t>aarav.verma963@example.com</t>
  </si>
  <si>
    <t>aditya.singh1039@example.com</t>
  </si>
  <si>
    <t>krishna.verma383@example.com</t>
  </si>
  <si>
    <t>aarav.singh1478@example.com</t>
  </si>
  <si>
    <t>vivaan.nair1452@example.com</t>
  </si>
  <si>
    <t>aarav.khan1821@example.com</t>
  </si>
  <si>
    <t>sai.reddy273@example.com</t>
  </si>
  <si>
    <t>vihaan.mehta874@example.com</t>
  </si>
  <si>
    <t>kabir.singh1589@example.com</t>
  </si>
  <si>
    <t>Total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</si>
</sst>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28561F-76F8-434F-83D9-96C1015EE866}" name="Table1" displayName="Table1" ref="A1:Q192" totalsRowShown="0" headerRowDxfId="2">
  <tableColumns count="17">
    <tableColumn id="1" xr3:uid="{D162CA36-D020-4D8D-ADD9-3C3E4687DA62}" name="ID"/>
    <tableColumn id="2" xr3:uid="{A25DD4AA-5CE0-44F2-84C3-BC53A63014C3}" name="First_Name"/>
    <tableColumn id="3" xr3:uid="{9427B7D1-3929-4436-AC81-6CC7C85B4507}" name="Last_Name"/>
    <tableColumn id="4" xr3:uid="{2D5960DE-86C3-46BD-B62B-3DFF7AC35C25}" name="Age"/>
    <tableColumn id="5" xr3:uid="{BB2A5407-C509-4058-9C81-CC2678C5952A}" name="Gender"/>
    <tableColumn id="6" xr3:uid="{FDE22210-6C4E-4806-AC74-991C26FED87E}" name="Country"/>
    <tableColumn id="7" xr3:uid="{4FD53EA7-7F93-4511-BB86-6844EB50598E}" name="State"/>
    <tableColumn id="8" xr3:uid="{6546BA83-E82B-4143-89A2-A22AF9DD650B}" name="City"/>
    <tableColumn id="9" xr3:uid="{BCD24488-4C04-499E-9EB5-CB987E17B92C}" name="Department"/>
    <tableColumn id="10" xr3:uid="{EB8916F8-0CC4-4F8B-BAC0-9C030AA12DE7}" name="Salary"/>
    <tableColumn id="11" xr3:uid="{CDBE3AD3-5FB4-46BB-B654-09374C68F669}" name="Experience_Years"/>
    <tableColumn id="12" xr3:uid="{44886467-2F0D-4FCA-8D8A-71B7FA7D72FE}" name="Joining_Date" dataDxfId="1"/>
    <tableColumn id="13" xr3:uid="{BCB2B727-50E1-4A12-B0C1-06E49272C446}" name="Performance_Score"/>
    <tableColumn id="14" xr3:uid="{C2AB85C1-A154-467F-9DD6-E34AF5E45B7E}" name="Email"/>
    <tableColumn id="15" xr3:uid="{1ACB852D-AE3A-4CAB-B243-B1027E4496CA}" name="Phone"/>
    <tableColumn id="16" xr3:uid="{DD4DF33E-B171-4578-AAD7-DF793F38FEBF}" name="Month" dataDxfId="0"/>
    <tableColumn id="17" xr3:uid="{F88AC688-2BB0-4B8F-A1A8-6B51AB8A5E08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2"/>
  <sheetViews>
    <sheetView tabSelected="1" topLeftCell="A166" workbookViewId="0">
      <selection sqref="A1:Q192"/>
    </sheetView>
  </sheetViews>
  <sheetFormatPr defaultRowHeight="14.4" x14ac:dyDescent="0.3"/>
  <cols>
    <col min="1" max="1" width="5" bestFit="1" customWidth="1"/>
    <col min="2" max="2" width="11.5546875" bestFit="1" customWidth="1"/>
    <col min="3" max="3" width="11.21875" bestFit="1" customWidth="1"/>
    <col min="4" max="4" width="4.44140625" bestFit="1" customWidth="1"/>
    <col min="5" max="5" width="7.88671875" bestFit="1" customWidth="1"/>
    <col min="6" max="6" width="8.44140625" bestFit="1" customWidth="1"/>
    <col min="7" max="7" width="11.44140625" bestFit="1" customWidth="1"/>
    <col min="8" max="8" width="9.77734375" bestFit="1" customWidth="1"/>
    <col min="9" max="9" width="12.33203125" bestFit="1" customWidth="1"/>
    <col min="10" max="10" width="7" bestFit="1" customWidth="1"/>
    <col min="11" max="11" width="17.44140625" bestFit="1" customWidth="1"/>
    <col min="12" max="12" width="13.21875" bestFit="1" customWidth="1"/>
    <col min="13" max="13" width="19.21875" bestFit="1" customWidth="1"/>
    <col min="14" max="14" width="31.21875" bestFit="1" customWidth="1"/>
    <col min="15" max="15" width="11" bestFit="1" customWidth="1"/>
    <col min="16" max="16" width="9.77734375" bestFit="1" customWidth="1"/>
    <col min="17" max="17" width="5.109375" bestFit="1" customWidth="1"/>
    <col min="19" max="19" width="6.88671875" bestFit="1" customWidth="1"/>
    <col min="20" max="20" width="10.77734375" bestFit="1" customWidth="1"/>
    <col min="21" max="21" width="7.44140625" bestFit="1" customWidth="1"/>
    <col min="22" max="22" width="12.21875" bestFit="1" customWidth="1"/>
  </cols>
  <sheetData>
    <row r="1" spans="1:2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2" x14ac:dyDescent="0.3">
      <c r="A2">
        <v>523</v>
      </c>
      <c r="B2" t="s">
        <v>17</v>
      </c>
      <c r="C2" t="s">
        <v>18</v>
      </c>
      <c r="D2">
        <v>30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327589</v>
      </c>
      <c r="K2">
        <v>19</v>
      </c>
      <c r="L2" s="3">
        <v>45376</v>
      </c>
      <c r="M2">
        <v>3.86</v>
      </c>
      <c r="N2" t="s">
        <v>24</v>
      </c>
      <c r="O2">
        <v>7372222552</v>
      </c>
      <c r="P2" s="3" t="s">
        <v>25</v>
      </c>
      <c r="Q2">
        <v>2024</v>
      </c>
    </row>
    <row r="3" spans="1:22" x14ac:dyDescent="0.3">
      <c r="A3">
        <v>1014</v>
      </c>
      <c r="B3" t="s">
        <v>26</v>
      </c>
      <c r="C3" t="s">
        <v>18</v>
      </c>
      <c r="D3">
        <v>23</v>
      </c>
      <c r="E3" t="s">
        <v>19</v>
      </c>
      <c r="F3" t="s">
        <v>20</v>
      </c>
      <c r="G3" t="s">
        <v>27</v>
      </c>
      <c r="H3" t="s">
        <v>28</v>
      </c>
      <c r="I3" t="s">
        <v>29</v>
      </c>
      <c r="J3">
        <v>374646</v>
      </c>
      <c r="K3">
        <v>16</v>
      </c>
      <c r="L3" s="3">
        <v>45045</v>
      </c>
      <c r="M3">
        <v>2.06</v>
      </c>
      <c r="N3" t="s">
        <v>30</v>
      </c>
      <c r="O3">
        <v>9388625789</v>
      </c>
      <c r="P3" s="3" t="s">
        <v>31</v>
      </c>
      <c r="Q3">
        <v>2023</v>
      </c>
    </row>
    <row r="4" spans="1:22" x14ac:dyDescent="0.3">
      <c r="A4">
        <v>1132</v>
      </c>
      <c r="B4" t="s">
        <v>32</v>
      </c>
      <c r="C4" t="s">
        <v>33</v>
      </c>
      <c r="D4">
        <v>56</v>
      </c>
      <c r="E4" t="s">
        <v>19</v>
      </c>
      <c r="F4" t="s">
        <v>20</v>
      </c>
      <c r="G4" t="s">
        <v>34</v>
      </c>
      <c r="H4" t="s">
        <v>35</v>
      </c>
      <c r="I4" t="s">
        <v>36</v>
      </c>
      <c r="J4">
        <v>320771</v>
      </c>
      <c r="K4">
        <v>10</v>
      </c>
      <c r="L4" s="3">
        <v>45119</v>
      </c>
      <c r="M4">
        <v>3.61</v>
      </c>
      <c r="N4" t="s">
        <v>37</v>
      </c>
      <c r="O4">
        <v>8184450481</v>
      </c>
      <c r="P4" s="3" t="s">
        <v>38</v>
      </c>
      <c r="Q4">
        <v>2023</v>
      </c>
    </row>
    <row r="5" spans="1:22" x14ac:dyDescent="0.3">
      <c r="A5">
        <v>586</v>
      </c>
      <c r="B5" t="s">
        <v>39</v>
      </c>
      <c r="C5" t="s">
        <v>40</v>
      </c>
      <c r="D5">
        <v>32</v>
      </c>
      <c r="E5" t="s">
        <v>41</v>
      </c>
      <c r="F5" t="s">
        <v>20</v>
      </c>
      <c r="G5" t="s">
        <v>42</v>
      </c>
      <c r="H5" t="s">
        <v>35</v>
      </c>
      <c r="I5" t="s">
        <v>29</v>
      </c>
      <c r="J5">
        <v>349739</v>
      </c>
      <c r="K5">
        <v>1</v>
      </c>
      <c r="L5" s="3">
        <v>45123</v>
      </c>
      <c r="M5">
        <v>2.04</v>
      </c>
      <c r="N5" t="s">
        <v>43</v>
      </c>
      <c r="O5">
        <v>7634555751</v>
      </c>
      <c r="P5" s="3" t="s">
        <v>38</v>
      </c>
      <c r="Q5">
        <v>2023</v>
      </c>
    </row>
    <row r="6" spans="1:22" x14ac:dyDescent="0.3">
      <c r="A6">
        <v>951</v>
      </c>
      <c r="B6" t="s">
        <v>44</v>
      </c>
      <c r="C6" t="s">
        <v>45</v>
      </c>
      <c r="D6">
        <v>54</v>
      </c>
      <c r="E6" t="s">
        <v>19</v>
      </c>
      <c r="F6" t="s">
        <v>20</v>
      </c>
      <c r="G6" t="s">
        <v>34</v>
      </c>
      <c r="H6" t="s">
        <v>35</v>
      </c>
      <c r="I6" t="s">
        <v>36</v>
      </c>
      <c r="J6">
        <v>457051</v>
      </c>
      <c r="K6">
        <v>7</v>
      </c>
      <c r="L6" s="3">
        <v>45147</v>
      </c>
      <c r="M6">
        <v>1.35</v>
      </c>
      <c r="N6" t="s">
        <v>46</v>
      </c>
      <c r="O6">
        <v>7905053378</v>
      </c>
      <c r="P6" s="3" t="s">
        <v>47</v>
      </c>
      <c r="Q6">
        <v>2023</v>
      </c>
    </row>
    <row r="7" spans="1:22" x14ac:dyDescent="0.3">
      <c r="A7">
        <v>1487</v>
      </c>
      <c r="B7" t="s">
        <v>48</v>
      </c>
      <c r="C7" t="s">
        <v>49</v>
      </c>
      <c r="D7">
        <v>36</v>
      </c>
      <c r="E7" t="s">
        <v>19</v>
      </c>
      <c r="F7" t="s">
        <v>20</v>
      </c>
      <c r="G7" t="s">
        <v>42</v>
      </c>
      <c r="H7" t="s">
        <v>28</v>
      </c>
      <c r="I7" t="s">
        <v>50</v>
      </c>
      <c r="J7">
        <v>428569</v>
      </c>
      <c r="K7">
        <v>11</v>
      </c>
      <c r="L7" s="3">
        <v>45170</v>
      </c>
      <c r="M7">
        <v>2.91</v>
      </c>
      <c r="N7" t="s">
        <v>51</v>
      </c>
      <c r="O7">
        <v>7997300924</v>
      </c>
      <c r="P7" s="3" t="s">
        <v>52</v>
      </c>
      <c r="Q7">
        <v>2023</v>
      </c>
    </row>
    <row r="8" spans="1:22" x14ac:dyDescent="0.3">
      <c r="A8">
        <v>1198</v>
      </c>
      <c r="B8" t="s">
        <v>53</v>
      </c>
      <c r="C8" t="s">
        <v>54</v>
      </c>
      <c r="D8">
        <v>55</v>
      </c>
      <c r="E8" t="s">
        <v>41</v>
      </c>
      <c r="F8" t="s">
        <v>20</v>
      </c>
      <c r="G8" t="s">
        <v>55</v>
      </c>
      <c r="H8" t="s">
        <v>55</v>
      </c>
      <c r="I8" t="s">
        <v>29</v>
      </c>
      <c r="J8">
        <v>457357</v>
      </c>
      <c r="K8">
        <v>9</v>
      </c>
      <c r="L8" s="3">
        <v>45237</v>
      </c>
      <c r="M8">
        <v>2.19</v>
      </c>
      <c r="N8" t="s">
        <v>56</v>
      </c>
      <c r="O8">
        <v>8040101809</v>
      </c>
      <c r="P8" s="3" t="s">
        <v>57</v>
      </c>
      <c r="Q8">
        <v>2023</v>
      </c>
      <c r="S8" t="s">
        <v>4</v>
      </c>
      <c r="T8" t="s">
        <v>8</v>
      </c>
      <c r="U8" t="s">
        <v>5</v>
      </c>
      <c r="V8" t="s">
        <v>264</v>
      </c>
    </row>
    <row r="9" spans="1:22" x14ac:dyDescent="0.3">
      <c r="A9">
        <v>1523</v>
      </c>
      <c r="B9" t="s">
        <v>48</v>
      </c>
      <c r="C9" t="s">
        <v>45</v>
      </c>
      <c r="D9">
        <v>47</v>
      </c>
      <c r="E9" t="s">
        <v>41</v>
      </c>
      <c r="F9" t="s">
        <v>20</v>
      </c>
      <c r="G9" t="s">
        <v>27</v>
      </c>
      <c r="H9" t="s">
        <v>55</v>
      </c>
      <c r="I9" t="s">
        <v>50</v>
      </c>
      <c r="J9">
        <v>360445</v>
      </c>
      <c r="K9">
        <v>6</v>
      </c>
      <c r="L9" s="3">
        <v>44613</v>
      </c>
      <c r="M9">
        <v>5</v>
      </c>
      <c r="N9" t="s">
        <v>58</v>
      </c>
      <c r="O9">
        <v>9754511483</v>
      </c>
      <c r="P9" s="3" t="s">
        <v>59</v>
      </c>
      <c r="Q9">
        <v>2022</v>
      </c>
      <c r="S9" t="s">
        <v>41</v>
      </c>
      <c r="T9" t="s">
        <v>23</v>
      </c>
      <c r="U9" t="s">
        <v>147</v>
      </c>
      <c r="V9">
        <f>DAVERAGE(A1:Q192,"Salary",S8:U9)</f>
        <v>410514.4</v>
      </c>
    </row>
    <row r="10" spans="1:22" x14ac:dyDescent="0.3">
      <c r="A10">
        <v>1883</v>
      </c>
      <c r="B10" t="s">
        <v>44</v>
      </c>
      <c r="C10" t="s">
        <v>40</v>
      </c>
      <c r="D10">
        <v>41</v>
      </c>
      <c r="E10" t="s">
        <v>19</v>
      </c>
      <c r="F10" t="s">
        <v>20</v>
      </c>
      <c r="G10" t="s">
        <v>42</v>
      </c>
      <c r="H10" t="s">
        <v>22</v>
      </c>
      <c r="I10" t="s">
        <v>60</v>
      </c>
      <c r="J10">
        <v>421832</v>
      </c>
      <c r="K10">
        <v>3</v>
      </c>
      <c r="L10" s="3">
        <v>44638</v>
      </c>
      <c r="M10">
        <v>4.8</v>
      </c>
      <c r="N10" t="s">
        <v>61</v>
      </c>
      <c r="O10">
        <v>9936705117</v>
      </c>
      <c r="P10" s="3" t="s">
        <v>25</v>
      </c>
      <c r="Q10">
        <v>2022</v>
      </c>
    </row>
    <row r="11" spans="1:22" x14ac:dyDescent="0.3">
      <c r="A11">
        <v>470</v>
      </c>
      <c r="B11" t="s">
        <v>48</v>
      </c>
      <c r="C11" t="s">
        <v>40</v>
      </c>
      <c r="D11">
        <v>60</v>
      </c>
      <c r="E11" t="s">
        <v>41</v>
      </c>
      <c r="F11" t="s">
        <v>20</v>
      </c>
      <c r="G11" t="s">
        <v>34</v>
      </c>
      <c r="H11" t="s">
        <v>22</v>
      </c>
      <c r="I11" t="s">
        <v>62</v>
      </c>
      <c r="J11">
        <v>360887</v>
      </c>
      <c r="K11">
        <v>6</v>
      </c>
      <c r="L11" s="3">
        <v>44647</v>
      </c>
      <c r="M11">
        <v>1.1399999999999999</v>
      </c>
      <c r="N11" t="s">
        <v>63</v>
      </c>
      <c r="O11">
        <v>7636605986</v>
      </c>
      <c r="P11" s="3" t="s">
        <v>25</v>
      </c>
      <c r="Q11">
        <v>2022</v>
      </c>
    </row>
    <row r="12" spans="1:22" x14ac:dyDescent="0.3">
      <c r="A12">
        <v>887</v>
      </c>
      <c r="B12" t="s">
        <v>26</v>
      </c>
      <c r="C12" t="s">
        <v>45</v>
      </c>
      <c r="D12">
        <v>40</v>
      </c>
      <c r="E12" t="s">
        <v>19</v>
      </c>
      <c r="F12" t="s">
        <v>20</v>
      </c>
      <c r="G12" t="s">
        <v>55</v>
      </c>
      <c r="H12" t="s">
        <v>22</v>
      </c>
      <c r="I12" t="s">
        <v>60</v>
      </c>
      <c r="J12">
        <v>354955</v>
      </c>
      <c r="K12">
        <v>13</v>
      </c>
      <c r="L12" s="3">
        <v>44681</v>
      </c>
      <c r="M12">
        <v>4.46</v>
      </c>
      <c r="N12" t="s">
        <v>64</v>
      </c>
      <c r="O12">
        <v>8424871062</v>
      </c>
      <c r="P12" s="3" t="s">
        <v>31</v>
      </c>
      <c r="Q12">
        <v>2022</v>
      </c>
    </row>
    <row r="13" spans="1:22" x14ac:dyDescent="0.3">
      <c r="A13">
        <v>20</v>
      </c>
      <c r="B13" t="s">
        <v>26</v>
      </c>
      <c r="C13" t="s">
        <v>65</v>
      </c>
      <c r="D13">
        <v>59</v>
      </c>
      <c r="E13" t="s">
        <v>19</v>
      </c>
      <c r="F13" t="s">
        <v>20</v>
      </c>
      <c r="G13" t="s">
        <v>42</v>
      </c>
      <c r="H13" t="s">
        <v>35</v>
      </c>
      <c r="I13" t="s">
        <v>60</v>
      </c>
      <c r="J13">
        <v>319509</v>
      </c>
      <c r="K13">
        <v>20</v>
      </c>
      <c r="L13" s="3">
        <v>44709</v>
      </c>
      <c r="M13">
        <v>1.02</v>
      </c>
      <c r="N13" t="s">
        <v>66</v>
      </c>
      <c r="O13">
        <v>7024439149</v>
      </c>
      <c r="P13" s="3" t="s">
        <v>67</v>
      </c>
      <c r="Q13">
        <v>2022</v>
      </c>
    </row>
    <row r="14" spans="1:22" x14ac:dyDescent="0.3">
      <c r="A14">
        <v>1602</v>
      </c>
      <c r="B14" t="s">
        <v>68</v>
      </c>
      <c r="C14" t="s">
        <v>40</v>
      </c>
      <c r="D14">
        <v>43</v>
      </c>
      <c r="E14" t="s">
        <v>19</v>
      </c>
      <c r="F14" t="s">
        <v>20</v>
      </c>
      <c r="G14" t="s">
        <v>55</v>
      </c>
      <c r="H14" t="s">
        <v>69</v>
      </c>
      <c r="I14" t="s">
        <v>50</v>
      </c>
      <c r="J14">
        <v>353655</v>
      </c>
      <c r="K14">
        <v>2</v>
      </c>
      <c r="L14" s="3">
        <v>44810</v>
      </c>
      <c r="M14">
        <v>2.0499999999999998</v>
      </c>
      <c r="N14" t="s">
        <v>70</v>
      </c>
      <c r="O14">
        <v>8384438440</v>
      </c>
      <c r="P14" s="3" t="s">
        <v>52</v>
      </c>
      <c r="Q14">
        <v>2022</v>
      </c>
    </row>
    <row r="15" spans="1:22" x14ac:dyDescent="0.3">
      <c r="A15">
        <v>730</v>
      </c>
      <c r="B15" t="s">
        <v>53</v>
      </c>
      <c r="C15" t="s">
        <v>33</v>
      </c>
      <c r="D15">
        <v>24</v>
      </c>
      <c r="E15" t="s">
        <v>19</v>
      </c>
      <c r="F15" t="s">
        <v>20</v>
      </c>
      <c r="G15" t="s">
        <v>34</v>
      </c>
      <c r="H15" t="s">
        <v>28</v>
      </c>
      <c r="I15" t="s">
        <v>50</v>
      </c>
      <c r="J15">
        <v>493651</v>
      </c>
      <c r="K15">
        <v>3</v>
      </c>
      <c r="L15" s="3">
        <v>44889</v>
      </c>
      <c r="M15">
        <v>1.54</v>
      </c>
      <c r="N15" t="s">
        <v>71</v>
      </c>
      <c r="O15">
        <v>7517772275</v>
      </c>
      <c r="P15" s="3" t="s">
        <v>57</v>
      </c>
      <c r="Q15">
        <v>2022</v>
      </c>
      <c r="S15" t="s">
        <v>4</v>
      </c>
      <c r="T15" t="s">
        <v>8</v>
      </c>
      <c r="U15" t="s">
        <v>5</v>
      </c>
      <c r="V15" t="s">
        <v>264</v>
      </c>
    </row>
    <row r="16" spans="1:22" x14ac:dyDescent="0.3">
      <c r="A16">
        <v>867</v>
      </c>
      <c r="B16" t="s">
        <v>26</v>
      </c>
      <c r="C16" t="s">
        <v>72</v>
      </c>
      <c r="D16">
        <v>43</v>
      </c>
      <c r="E16" t="s">
        <v>19</v>
      </c>
      <c r="F16" t="s">
        <v>20</v>
      </c>
      <c r="G16" t="s">
        <v>21</v>
      </c>
      <c r="H16" t="s">
        <v>22</v>
      </c>
      <c r="I16" t="s">
        <v>29</v>
      </c>
      <c r="J16">
        <v>404995</v>
      </c>
      <c r="K16">
        <v>20</v>
      </c>
      <c r="L16" s="3">
        <v>44327</v>
      </c>
      <c r="M16">
        <v>1.1399999999999999</v>
      </c>
      <c r="N16" t="s">
        <v>73</v>
      </c>
      <c r="O16">
        <v>7372846239</v>
      </c>
      <c r="P16" s="3" t="s">
        <v>67</v>
      </c>
      <c r="Q16">
        <v>2021</v>
      </c>
      <c r="S16" t="s">
        <v>41</v>
      </c>
      <c r="T16" t="s">
        <v>23</v>
      </c>
      <c r="U16" t="s">
        <v>147</v>
      </c>
      <c r="V16">
        <f>DAVERAGE(Table1[#All],"Salary",S15:U17)</f>
        <v>408040.6</v>
      </c>
    </row>
    <row r="17" spans="1:22" x14ac:dyDescent="0.3">
      <c r="A17">
        <v>677</v>
      </c>
      <c r="B17" t="s">
        <v>17</v>
      </c>
      <c r="C17" t="s">
        <v>40</v>
      </c>
      <c r="D17">
        <v>58</v>
      </c>
      <c r="E17" t="s">
        <v>41</v>
      </c>
      <c r="F17" t="s">
        <v>20</v>
      </c>
      <c r="G17" t="s">
        <v>34</v>
      </c>
      <c r="H17" t="s">
        <v>35</v>
      </c>
      <c r="I17" t="s">
        <v>29</v>
      </c>
      <c r="J17">
        <v>485770</v>
      </c>
      <c r="K17">
        <v>19</v>
      </c>
      <c r="L17" s="3">
        <v>44475</v>
      </c>
      <c r="M17">
        <v>4.71</v>
      </c>
      <c r="N17" t="s">
        <v>74</v>
      </c>
      <c r="O17">
        <v>8773513869</v>
      </c>
      <c r="P17" s="3" t="s">
        <v>75</v>
      </c>
      <c r="Q17">
        <v>2021</v>
      </c>
      <c r="S17" t="s">
        <v>41</v>
      </c>
      <c r="T17" t="s">
        <v>23</v>
      </c>
      <c r="U17" t="s">
        <v>230</v>
      </c>
    </row>
    <row r="18" spans="1:22" x14ac:dyDescent="0.3">
      <c r="A18">
        <v>1961</v>
      </c>
      <c r="B18" t="s">
        <v>68</v>
      </c>
      <c r="C18" t="s">
        <v>33</v>
      </c>
      <c r="D18">
        <v>29</v>
      </c>
      <c r="E18" t="s">
        <v>41</v>
      </c>
      <c r="F18" t="s">
        <v>20</v>
      </c>
      <c r="G18" t="s">
        <v>21</v>
      </c>
      <c r="H18" t="s">
        <v>76</v>
      </c>
      <c r="I18" t="s">
        <v>62</v>
      </c>
      <c r="J18">
        <v>398462</v>
      </c>
      <c r="K18">
        <v>5</v>
      </c>
      <c r="L18" s="3">
        <v>44017</v>
      </c>
      <c r="M18">
        <v>3.99</v>
      </c>
      <c r="N18" t="s">
        <v>77</v>
      </c>
      <c r="O18">
        <v>9761448691</v>
      </c>
      <c r="P18" s="3" t="s">
        <v>38</v>
      </c>
      <c r="Q18">
        <v>2020</v>
      </c>
    </row>
    <row r="19" spans="1:22" x14ac:dyDescent="0.3">
      <c r="A19">
        <v>191</v>
      </c>
      <c r="B19" t="s">
        <v>44</v>
      </c>
      <c r="C19" t="s">
        <v>54</v>
      </c>
      <c r="D19">
        <v>35</v>
      </c>
      <c r="E19" t="s">
        <v>41</v>
      </c>
      <c r="F19" t="s">
        <v>20</v>
      </c>
      <c r="G19" t="s">
        <v>55</v>
      </c>
      <c r="H19" t="s">
        <v>78</v>
      </c>
      <c r="I19" t="s">
        <v>29</v>
      </c>
      <c r="J19">
        <v>311211</v>
      </c>
      <c r="K19">
        <v>9</v>
      </c>
      <c r="L19" s="3">
        <v>44099</v>
      </c>
      <c r="M19">
        <v>3.28</v>
      </c>
      <c r="N19" t="s">
        <v>79</v>
      </c>
      <c r="O19">
        <v>8487338282</v>
      </c>
      <c r="P19" s="3" t="s">
        <v>52</v>
      </c>
      <c r="Q19">
        <v>2020</v>
      </c>
      <c r="S19" t="s">
        <v>4</v>
      </c>
      <c r="T19" t="s">
        <v>8</v>
      </c>
      <c r="U19" t="s">
        <v>5</v>
      </c>
      <c r="V19" t="s">
        <v>264</v>
      </c>
    </row>
    <row r="20" spans="1:22" x14ac:dyDescent="0.3">
      <c r="A20">
        <v>360</v>
      </c>
      <c r="B20" t="s">
        <v>39</v>
      </c>
      <c r="C20" t="s">
        <v>45</v>
      </c>
      <c r="D20">
        <v>59</v>
      </c>
      <c r="E20" t="s">
        <v>19</v>
      </c>
      <c r="F20" t="s">
        <v>20</v>
      </c>
      <c r="G20" t="s">
        <v>55</v>
      </c>
      <c r="H20" t="s">
        <v>35</v>
      </c>
      <c r="I20" t="s">
        <v>36</v>
      </c>
      <c r="J20">
        <v>466085</v>
      </c>
      <c r="K20">
        <v>0</v>
      </c>
      <c r="L20" s="3">
        <v>44150</v>
      </c>
      <c r="M20">
        <v>3.53</v>
      </c>
      <c r="N20" t="s">
        <v>80</v>
      </c>
      <c r="O20">
        <v>8203853558</v>
      </c>
      <c r="P20" s="3" t="s">
        <v>57</v>
      </c>
      <c r="Q20">
        <v>2020</v>
      </c>
      <c r="S20" t="s">
        <v>41</v>
      </c>
      <c r="T20" t="s">
        <v>23</v>
      </c>
      <c r="U20" t="s">
        <v>147</v>
      </c>
      <c r="V20">
        <f>DCOUNT(Table1[#All],"Salary",S19:U21)</f>
        <v>10</v>
      </c>
    </row>
    <row r="21" spans="1:22" x14ac:dyDescent="0.3">
      <c r="A21">
        <v>1812</v>
      </c>
      <c r="B21" t="s">
        <v>26</v>
      </c>
      <c r="C21" t="s">
        <v>81</v>
      </c>
      <c r="D21">
        <v>26</v>
      </c>
      <c r="E21" t="s">
        <v>41</v>
      </c>
      <c r="F21" t="s">
        <v>20</v>
      </c>
      <c r="G21" t="s">
        <v>55</v>
      </c>
      <c r="H21" t="s">
        <v>55</v>
      </c>
      <c r="I21" t="s">
        <v>62</v>
      </c>
      <c r="J21">
        <v>344863</v>
      </c>
      <c r="K21">
        <v>2</v>
      </c>
      <c r="L21" s="3">
        <v>43489</v>
      </c>
      <c r="M21">
        <v>3.73</v>
      </c>
      <c r="N21" t="s">
        <v>82</v>
      </c>
      <c r="O21">
        <v>8134273571</v>
      </c>
      <c r="P21" s="3" t="s">
        <v>83</v>
      </c>
      <c r="Q21">
        <v>2019</v>
      </c>
      <c r="S21" t="s">
        <v>41</v>
      </c>
      <c r="T21" t="s">
        <v>23</v>
      </c>
      <c r="U21" t="s">
        <v>230</v>
      </c>
    </row>
    <row r="22" spans="1:22" x14ac:dyDescent="0.3">
      <c r="A22">
        <v>210</v>
      </c>
      <c r="B22" t="s">
        <v>26</v>
      </c>
      <c r="C22" t="s">
        <v>18</v>
      </c>
      <c r="D22">
        <v>60</v>
      </c>
      <c r="E22" t="s">
        <v>41</v>
      </c>
      <c r="F22" t="s">
        <v>20</v>
      </c>
      <c r="G22" t="s">
        <v>42</v>
      </c>
      <c r="H22" t="s">
        <v>55</v>
      </c>
      <c r="I22" t="s">
        <v>60</v>
      </c>
      <c r="J22">
        <v>434911</v>
      </c>
      <c r="K22">
        <v>19</v>
      </c>
      <c r="L22" s="3">
        <v>43558</v>
      </c>
      <c r="M22">
        <v>2.2200000000000002</v>
      </c>
      <c r="N22" t="s">
        <v>84</v>
      </c>
      <c r="O22">
        <v>9009065755</v>
      </c>
      <c r="P22" s="3" t="s">
        <v>31</v>
      </c>
      <c r="Q22">
        <v>2019</v>
      </c>
    </row>
    <row r="23" spans="1:22" x14ac:dyDescent="0.3">
      <c r="A23">
        <v>620</v>
      </c>
      <c r="B23" t="s">
        <v>85</v>
      </c>
      <c r="C23" t="s">
        <v>49</v>
      </c>
      <c r="D23">
        <v>32</v>
      </c>
      <c r="E23" t="s">
        <v>19</v>
      </c>
      <c r="F23" t="s">
        <v>20</v>
      </c>
      <c r="G23" t="s">
        <v>34</v>
      </c>
      <c r="H23" t="s">
        <v>22</v>
      </c>
      <c r="I23" t="s">
        <v>23</v>
      </c>
      <c r="J23">
        <v>436793</v>
      </c>
      <c r="K23">
        <v>9</v>
      </c>
      <c r="L23" s="3">
        <v>43795</v>
      </c>
      <c r="M23">
        <v>3.62</v>
      </c>
      <c r="N23" t="s">
        <v>86</v>
      </c>
      <c r="O23">
        <v>9149817428</v>
      </c>
      <c r="P23" s="3" t="s">
        <v>57</v>
      </c>
      <c r="Q23">
        <v>2019</v>
      </c>
    </row>
    <row r="24" spans="1:22" x14ac:dyDescent="0.3">
      <c r="A24">
        <v>142</v>
      </c>
      <c r="B24" t="s">
        <v>17</v>
      </c>
      <c r="C24" t="s">
        <v>49</v>
      </c>
      <c r="D24">
        <v>34</v>
      </c>
      <c r="E24" t="s">
        <v>19</v>
      </c>
      <c r="F24" t="s">
        <v>20</v>
      </c>
      <c r="G24" t="s">
        <v>34</v>
      </c>
      <c r="H24" t="s">
        <v>55</v>
      </c>
      <c r="I24" t="s">
        <v>29</v>
      </c>
      <c r="J24">
        <v>434918</v>
      </c>
      <c r="K24">
        <v>7</v>
      </c>
      <c r="L24" s="3">
        <v>43114</v>
      </c>
      <c r="M24">
        <v>3.62</v>
      </c>
      <c r="N24" t="s">
        <v>87</v>
      </c>
      <c r="O24">
        <v>7398235392</v>
      </c>
      <c r="P24" s="3" t="s">
        <v>83</v>
      </c>
      <c r="Q24">
        <v>2018</v>
      </c>
      <c r="S24" t="s">
        <v>4</v>
      </c>
      <c r="T24" t="s">
        <v>8</v>
      </c>
      <c r="U24" t="s">
        <v>5</v>
      </c>
      <c r="V24" t="s">
        <v>264</v>
      </c>
    </row>
    <row r="25" spans="1:22" x14ac:dyDescent="0.3">
      <c r="A25">
        <v>1355</v>
      </c>
      <c r="B25" t="s">
        <v>17</v>
      </c>
      <c r="C25" t="s">
        <v>18</v>
      </c>
      <c r="D25">
        <v>32</v>
      </c>
      <c r="E25" t="s">
        <v>41</v>
      </c>
      <c r="F25" t="s">
        <v>20</v>
      </c>
      <c r="G25" t="s">
        <v>27</v>
      </c>
      <c r="H25" t="s">
        <v>55</v>
      </c>
      <c r="I25" t="s">
        <v>62</v>
      </c>
      <c r="J25">
        <v>329069</v>
      </c>
      <c r="K25">
        <v>19</v>
      </c>
      <c r="L25" s="3">
        <v>43143</v>
      </c>
      <c r="M25">
        <v>2.57</v>
      </c>
      <c r="N25" t="s">
        <v>88</v>
      </c>
      <c r="O25">
        <v>8906426660</v>
      </c>
      <c r="P25" s="3" t="s">
        <v>59</v>
      </c>
      <c r="Q25">
        <v>2018</v>
      </c>
      <c r="S25" t="s">
        <v>41</v>
      </c>
      <c r="T25" t="s">
        <v>23</v>
      </c>
      <c r="U25" t="s">
        <v>147</v>
      </c>
      <c r="V25">
        <f>DMAX(Table1[#All],"Salary",S24:U26)</f>
        <v>488256</v>
      </c>
    </row>
    <row r="26" spans="1:22" x14ac:dyDescent="0.3">
      <c r="A26">
        <v>1286</v>
      </c>
      <c r="B26" t="s">
        <v>17</v>
      </c>
      <c r="C26" t="s">
        <v>54</v>
      </c>
      <c r="D26">
        <v>56</v>
      </c>
      <c r="E26" t="s">
        <v>41</v>
      </c>
      <c r="F26" t="s">
        <v>20</v>
      </c>
      <c r="G26" t="s">
        <v>27</v>
      </c>
      <c r="H26" t="s">
        <v>22</v>
      </c>
      <c r="I26" t="s">
        <v>50</v>
      </c>
      <c r="J26">
        <v>319655</v>
      </c>
      <c r="K26">
        <v>11</v>
      </c>
      <c r="L26" s="3">
        <v>43259</v>
      </c>
      <c r="M26">
        <v>4.01</v>
      </c>
      <c r="N26" t="s">
        <v>89</v>
      </c>
      <c r="O26">
        <v>7745621205</v>
      </c>
      <c r="P26" s="3" t="s">
        <v>90</v>
      </c>
      <c r="Q26">
        <v>2018</v>
      </c>
      <c r="S26" t="s">
        <v>41</v>
      </c>
      <c r="T26" t="s">
        <v>23</v>
      </c>
      <c r="U26" t="s">
        <v>230</v>
      </c>
    </row>
    <row r="27" spans="1:22" x14ac:dyDescent="0.3">
      <c r="A27">
        <v>1191</v>
      </c>
      <c r="B27" t="s">
        <v>68</v>
      </c>
      <c r="C27" t="s">
        <v>81</v>
      </c>
      <c r="D27">
        <v>43</v>
      </c>
      <c r="E27" t="s">
        <v>19</v>
      </c>
      <c r="F27" t="s">
        <v>20</v>
      </c>
      <c r="G27" t="s">
        <v>34</v>
      </c>
      <c r="H27" t="s">
        <v>69</v>
      </c>
      <c r="I27" t="s">
        <v>60</v>
      </c>
      <c r="J27">
        <v>324914</v>
      </c>
      <c r="K27">
        <v>6</v>
      </c>
      <c r="L27" s="3">
        <v>43320</v>
      </c>
      <c r="M27">
        <v>4.0199999999999996</v>
      </c>
      <c r="N27" t="s">
        <v>91</v>
      </c>
      <c r="O27">
        <v>9738713397</v>
      </c>
      <c r="P27" s="3" t="s">
        <v>47</v>
      </c>
      <c r="Q27">
        <v>2018</v>
      </c>
    </row>
    <row r="28" spans="1:22" x14ac:dyDescent="0.3">
      <c r="A28">
        <v>1968</v>
      </c>
      <c r="B28" t="s">
        <v>85</v>
      </c>
      <c r="C28" t="s">
        <v>92</v>
      </c>
      <c r="D28">
        <v>37</v>
      </c>
      <c r="E28" t="s">
        <v>41</v>
      </c>
      <c r="F28" t="s">
        <v>20</v>
      </c>
      <c r="G28" t="s">
        <v>34</v>
      </c>
      <c r="H28" t="s">
        <v>55</v>
      </c>
      <c r="I28" t="s">
        <v>50</v>
      </c>
      <c r="J28">
        <v>422480</v>
      </c>
      <c r="K28">
        <v>1</v>
      </c>
      <c r="L28" s="3">
        <v>43424</v>
      </c>
      <c r="M28">
        <v>1.03</v>
      </c>
      <c r="N28" t="s">
        <v>93</v>
      </c>
      <c r="O28">
        <v>8628942323</v>
      </c>
      <c r="P28" s="3" t="s">
        <v>57</v>
      </c>
      <c r="Q28">
        <v>2018</v>
      </c>
    </row>
    <row r="29" spans="1:22" x14ac:dyDescent="0.3">
      <c r="A29">
        <v>1856</v>
      </c>
      <c r="B29" t="s">
        <v>26</v>
      </c>
      <c r="C29" t="s">
        <v>92</v>
      </c>
      <c r="D29">
        <v>44</v>
      </c>
      <c r="E29" t="s">
        <v>41</v>
      </c>
      <c r="F29" t="s">
        <v>20</v>
      </c>
      <c r="G29" t="s">
        <v>34</v>
      </c>
      <c r="H29" t="s">
        <v>35</v>
      </c>
      <c r="I29" t="s">
        <v>62</v>
      </c>
      <c r="J29">
        <v>338083</v>
      </c>
      <c r="K29">
        <v>11</v>
      </c>
      <c r="L29" s="3">
        <v>42802</v>
      </c>
      <c r="M29">
        <v>1.0900000000000001</v>
      </c>
      <c r="N29" t="s">
        <v>94</v>
      </c>
      <c r="O29">
        <v>7388115115</v>
      </c>
      <c r="P29" s="3" t="s">
        <v>25</v>
      </c>
      <c r="Q29">
        <v>2017</v>
      </c>
      <c r="S29" t="s">
        <v>4</v>
      </c>
      <c r="T29" t="s">
        <v>8</v>
      </c>
      <c r="U29" t="s">
        <v>5</v>
      </c>
      <c r="V29" t="s">
        <v>264</v>
      </c>
    </row>
    <row r="30" spans="1:22" x14ac:dyDescent="0.3">
      <c r="A30">
        <v>1725</v>
      </c>
      <c r="B30" t="s">
        <v>32</v>
      </c>
      <c r="C30" t="s">
        <v>92</v>
      </c>
      <c r="D30">
        <v>43</v>
      </c>
      <c r="E30" t="s">
        <v>41</v>
      </c>
      <c r="F30" t="s">
        <v>20</v>
      </c>
      <c r="G30" t="s">
        <v>27</v>
      </c>
      <c r="H30" t="s">
        <v>22</v>
      </c>
      <c r="I30" t="s">
        <v>60</v>
      </c>
      <c r="J30">
        <v>446847</v>
      </c>
      <c r="K30">
        <v>1</v>
      </c>
      <c r="L30" s="3">
        <v>42816</v>
      </c>
      <c r="M30">
        <v>3.8</v>
      </c>
      <c r="N30" t="s">
        <v>95</v>
      </c>
      <c r="O30">
        <v>7717579965</v>
      </c>
      <c r="P30" s="3" t="s">
        <v>25</v>
      </c>
      <c r="Q30">
        <v>2017</v>
      </c>
      <c r="S30" t="s">
        <v>41</v>
      </c>
      <c r="T30" t="s">
        <v>23</v>
      </c>
      <c r="U30" t="s">
        <v>147</v>
      </c>
      <c r="V30">
        <f>DMIN(Table1[#All],"Salary",S29:U31)</f>
        <v>302582</v>
      </c>
    </row>
    <row r="31" spans="1:22" x14ac:dyDescent="0.3">
      <c r="A31">
        <v>1359</v>
      </c>
      <c r="B31" t="s">
        <v>68</v>
      </c>
      <c r="C31" t="s">
        <v>49</v>
      </c>
      <c r="D31">
        <v>26</v>
      </c>
      <c r="E31" t="s">
        <v>19</v>
      </c>
      <c r="F31" t="s">
        <v>20</v>
      </c>
      <c r="G31" t="s">
        <v>21</v>
      </c>
      <c r="H31" t="s">
        <v>35</v>
      </c>
      <c r="I31" t="s">
        <v>23</v>
      </c>
      <c r="J31">
        <v>313819</v>
      </c>
      <c r="K31">
        <v>6</v>
      </c>
      <c r="L31" s="3">
        <v>42846</v>
      </c>
      <c r="M31">
        <v>1.26</v>
      </c>
      <c r="N31" t="s">
        <v>96</v>
      </c>
      <c r="O31">
        <v>9039963025</v>
      </c>
      <c r="P31" s="3" t="s">
        <v>31</v>
      </c>
      <c r="Q31">
        <v>2017</v>
      </c>
    </row>
    <row r="32" spans="1:22" x14ac:dyDescent="0.3">
      <c r="A32">
        <v>354</v>
      </c>
      <c r="B32" t="s">
        <v>85</v>
      </c>
      <c r="C32" t="s">
        <v>54</v>
      </c>
      <c r="D32">
        <v>37</v>
      </c>
      <c r="E32" t="s">
        <v>19</v>
      </c>
      <c r="F32" t="s">
        <v>20</v>
      </c>
      <c r="G32" t="s">
        <v>42</v>
      </c>
      <c r="H32" t="s">
        <v>22</v>
      </c>
      <c r="I32" t="s">
        <v>60</v>
      </c>
      <c r="J32">
        <v>440778</v>
      </c>
      <c r="K32">
        <v>6</v>
      </c>
      <c r="L32" s="3">
        <v>42852</v>
      </c>
      <c r="M32">
        <v>1.98</v>
      </c>
      <c r="N32" t="s">
        <v>97</v>
      </c>
      <c r="O32">
        <v>9677488033</v>
      </c>
      <c r="P32" s="3" t="s">
        <v>31</v>
      </c>
      <c r="Q32">
        <v>2017</v>
      </c>
    </row>
    <row r="33" spans="1:17" x14ac:dyDescent="0.3">
      <c r="A33">
        <v>1928</v>
      </c>
      <c r="B33" t="s">
        <v>68</v>
      </c>
      <c r="C33" t="s">
        <v>54</v>
      </c>
      <c r="D33">
        <v>46</v>
      </c>
      <c r="E33" t="s">
        <v>19</v>
      </c>
      <c r="F33" t="s">
        <v>20</v>
      </c>
      <c r="G33" t="s">
        <v>42</v>
      </c>
      <c r="H33" t="s">
        <v>28</v>
      </c>
      <c r="I33" t="s">
        <v>29</v>
      </c>
      <c r="J33">
        <v>425585</v>
      </c>
      <c r="K33">
        <v>2</v>
      </c>
      <c r="L33" s="3">
        <v>42930</v>
      </c>
      <c r="M33">
        <v>4.79</v>
      </c>
      <c r="N33" t="s">
        <v>98</v>
      </c>
      <c r="O33">
        <v>7412833950</v>
      </c>
      <c r="P33" s="3" t="s">
        <v>38</v>
      </c>
      <c r="Q33">
        <v>2017</v>
      </c>
    </row>
    <row r="34" spans="1:17" x14ac:dyDescent="0.3">
      <c r="A34">
        <v>537</v>
      </c>
      <c r="B34" t="s">
        <v>44</v>
      </c>
      <c r="C34" t="s">
        <v>45</v>
      </c>
      <c r="D34">
        <v>29</v>
      </c>
      <c r="E34" t="s">
        <v>19</v>
      </c>
      <c r="F34" t="s">
        <v>20</v>
      </c>
      <c r="G34" t="s">
        <v>21</v>
      </c>
      <c r="H34" t="s">
        <v>22</v>
      </c>
      <c r="I34" t="s">
        <v>29</v>
      </c>
      <c r="J34">
        <v>343105</v>
      </c>
      <c r="K34">
        <v>5</v>
      </c>
      <c r="L34" s="3">
        <v>43085</v>
      </c>
      <c r="M34">
        <v>3.35</v>
      </c>
      <c r="N34" t="s">
        <v>99</v>
      </c>
      <c r="O34">
        <v>8201032899</v>
      </c>
      <c r="P34" s="3" t="s">
        <v>100</v>
      </c>
      <c r="Q34">
        <v>2017</v>
      </c>
    </row>
    <row r="35" spans="1:17" x14ac:dyDescent="0.3">
      <c r="A35">
        <v>847</v>
      </c>
      <c r="B35" t="s">
        <v>39</v>
      </c>
      <c r="C35" t="s">
        <v>92</v>
      </c>
      <c r="D35">
        <v>44</v>
      </c>
      <c r="E35" t="s">
        <v>19</v>
      </c>
      <c r="F35" t="s">
        <v>20</v>
      </c>
      <c r="G35" t="s">
        <v>42</v>
      </c>
      <c r="H35" t="s">
        <v>55</v>
      </c>
      <c r="I35" t="s">
        <v>29</v>
      </c>
      <c r="J35">
        <v>359737</v>
      </c>
      <c r="K35">
        <v>4</v>
      </c>
      <c r="L35" s="3">
        <v>42434</v>
      </c>
      <c r="M35">
        <v>4.3</v>
      </c>
      <c r="N35" t="s">
        <v>101</v>
      </c>
      <c r="O35">
        <v>7952843051</v>
      </c>
      <c r="P35" s="3" t="s">
        <v>25</v>
      </c>
      <c r="Q35">
        <v>2016</v>
      </c>
    </row>
    <row r="36" spans="1:17" x14ac:dyDescent="0.3">
      <c r="A36">
        <v>425</v>
      </c>
      <c r="B36" t="s">
        <v>68</v>
      </c>
      <c r="C36" t="s">
        <v>65</v>
      </c>
      <c r="D36">
        <v>34</v>
      </c>
      <c r="E36" t="s">
        <v>19</v>
      </c>
      <c r="F36" t="s">
        <v>20</v>
      </c>
      <c r="G36" t="s">
        <v>21</v>
      </c>
      <c r="H36" t="s">
        <v>28</v>
      </c>
      <c r="I36" t="s">
        <v>62</v>
      </c>
      <c r="J36">
        <v>488560</v>
      </c>
      <c r="K36">
        <v>13</v>
      </c>
      <c r="L36" s="3">
        <v>42496</v>
      </c>
      <c r="M36">
        <v>4.53</v>
      </c>
      <c r="N36" t="s">
        <v>102</v>
      </c>
      <c r="O36">
        <v>7995186563</v>
      </c>
      <c r="P36" s="3" t="s">
        <v>67</v>
      </c>
      <c r="Q36">
        <v>2016</v>
      </c>
    </row>
    <row r="37" spans="1:17" x14ac:dyDescent="0.3">
      <c r="A37">
        <v>29</v>
      </c>
      <c r="B37" t="s">
        <v>103</v>
      </c>
      <c r="C37" t="s">
        <v>72</v>
      </c>
      <c r="D37">
        <v>34</v>
      </c>
      <c r="E37" t="s">
        <v>19</v>
      </c>
      <c r="F37" t="s">
        <v>20</v>
      </c>
      <c r="G37" t="s">
        <v>42</v>
      </c>
      <c r="H37" t="s">
        <v>55</v>
      </c>
      <c r="I37" t="s">
        <v>29</v>
      </c>
      <c r="J37">
        <v>475871</v>
      </c>
      <c r="K37">
        <v>7</v>
      </c>
      <c r="L37" s="3">
        <v>42601</v>
      </c>
      <c r="M37">
        <v>2.99</v>
      </c>
      <c r="N37" t="s">
        <v>104</v>
      </c>
      <c r="O37">
        <v>9042115526</v>
      </c>
      <c r="P37" s="3" t="s">
        <v>47</v>
      </c>
      <c r="Q37">
        <v>2016</v>
      </c>
    </row>
    <row r="38" spans="1:17" x14ac:dyDescent="0.3">
      <c r="A38">
        <v>1679</v>
      </c>
      <c r="B38" t="s">
        <v>17</v>
      </c>
      <c r="C38" t="s">
        <v>18</v>
      </c>
      <c r="D38">
        <v>40</v>
      </c>
      <c r="E38" t="s">
        <v>19</v>
      </c>
      <c r="F38" t="s">
        <v>20</v>
      </c>
      <c r="G38" t="s">
        <v>42</v>
      </c>
      <c r="H38" t="s">
        <v>55</v>
      </c>
      <c r="I38" t="s">
        <v>23</v>
      </c>
      <c r="J38">
        <v>481380</v>
      </c>
      <c r="K38">
        <v>16</v>
      </c>
      <c r="L38" s="3">
        <v>42638</v>
      </c>
      <c r="M38">
        <v>4.03</v>
      </c>
      <c r="N38" t="s">
        <v>105</v>
      </c>
      <c r="O38">
        <v>7019628812</v>
      </c>
      <c r="P38" s="3" t="s">
        <v>52</v>
      </c>
      <c r="Q38">
        <v>2016</v>
      </c>
    </row>
    <row r="39" spans="1:17" x14ac:dyDescent="0.3">
      <c r="A39">
        <v>890</v>
      </c>
      <c r="B39" t="s">
        <v>103</v>
      </c>
      <c r="C39" t="s">
        <v>33</v>
      </c>
      <c r="D39">
        <v>50</v>
      </c>
      <c r="E39" t="s">
        <v>41</v>
      </c>
      <c r="F39" t="s">
        <v>20</v>
      </c>
      <c r="G39" t="s">
        <v>34</v>
      </c>
      <c r="H39" t="s">
        <v>69</v>
      </c>
      <c r="I39" t="s">
        <v>36</v>
      </c>
      <c r="J39">
        <v>410891</v>
      </c>
      <c r="K39">
        <v>12</v>
      </c>
      <c r="L39" s="3">
        <v>42720</v>
      </c>
      <c r="M39">
        <v>1.75</v>
      </c>
      <c r="N39" t="s">
        <v>106</v>
      </c>
      <c r="O39">
        <v>9313167773</v>
      </c>
      <c r="P39" s="3" t="s">
        <v>100</v>
      </c>
      <c r="Q39">
        <v>2016</v>
      </c>
    </row>
    <row r="40" spans="1:17" x14ac:dyDescent="0.3">
      <c r="A40">
        <v>1344</v>
      </c>
      <c r="B40" t="s">
        <v>53</v>
      </c>
      <c r="C40" t="s">
        <v>65</v>
      </c>
      <c r="D40">
        <v>30</v>
      </c>
      <c r="E40" t="s">
        <v>41</v>
      </c>
      <c r="F40" t="s">
        <v>20</v>
      </c>
      <c r="G40" t="s">
        <v>55</v>
      </c>
      <c r="H40" t="s">
        <v>78</v>
      </c>
      <c r="I40" t="s">
        <v>23</v>
      </c>
      <c r="J40">
        <v>338275</v>
      </c>
      <c r="K40">
        <v>0</v>
      </c>
      <c r="L40" s="3">
        <v>42346</v>
      </c>
      <c r="M40">
        <v>4.67</v>
      </c>
      <c r="N40" t="s">
        <v>107</v>
      </c>
      <c r="O40">
        <v>8183759449</v>
      </c>
      <c r="P40" s="3" t="s">
        <v>100</v>
      </c>
      <c r="Q40">
        <v>2015</v>
      </c>
    </row>
    <row r="41" spans="1:17" x14ac:dyDescent="0.3">
      <c r="A41">
        <v>1896</v>
      </c>
      <c r="B41" t="s">
        <v>53</v>
      </c>
      <c r="C41" t="s">
        <v>33</v>
      </c>
      <c r="D41">
        <v>55</v>
      </c>
      <c r="E41" t="s">
        <v>19</v>
      </c>
      <c r="F41" t="s">
        <v>108</v>
      </c>
      <c r="G41" t="s">
        <v>34</v>
      </c>
      <c r="H41" t="s">
        <v>28</v>
      </c>
      <c r="I41" t="s">
        <v>36</v>
      </c>
      <c r="J41">
        <v>373996</v>
      </c>
      <c r="K41">
        <v>12</v>
      </c>
      <c r="L41" s="3">
        <v>45300</v>
      </c>
      <c r="M41">
        <v>1.48</v>
      </c>
      <c r="N41" t="s">
        <v>109</v>
      </c>
      <c r="O41">
        <v>7365762289</v>
      </c>
      <c r="P41" s="3" t="s">
        <v>83</v>
      </c>
      <c r="Q41">
        <v>2024</v>
      </c>
    </row>
    <row r="42" spans="1:17" x14ac:dyDescent="0.3">
      <c r="A42">
        <v>725</v>
      </c>
      <c r="B42" t="s">
        <v>44</v>
      </c>
      <c r="C42" t="s">
        <v>45</v>
      </c>
      <c r="D42">
        <v>30</v>
      </c>
      <c r="E42" t="s">
        <v>41</v>
      </c>
      <c r="F42" t="s">
        <v>108</v>
      </c>
      <c r="G42" t="s">
        <v>27</v>
      </c>
      <c r="H42" t="s">
        <v>35</v>
      </c>
      <c r="I42" t="s">
        <v>62</v>
      </c>
      <c r="J42">
        <v>309243</v>
      </c>
      <c r="K42">
        <v>7</v>
      </c>
      <c r="L42" s="3">
        <v>45337</v>
      </c>
      <c r="M42">
        <v>1.9</v>
      </c>
      <c r="N42" t="s">
        <v>110</v>
      </c>
      <c r="O42">
        <v>9343705053</v>
      </c>
      <c r="P42" s="3" t="s">
        <v>59</v>
      </c>
      <c r="Q42">
        <v>2024</v>
      </c>
    </row>
    <row r="43" spans="1:17" x14ac:dyDescent="0.3">
      <c r="A43">
        <v>1710</v>
      </c>
      <c r="B43" t="s">
        <v>17</v>
      </c>
      <c r="C43" t="s">
        <v>49</v>
      </c>
      <c r="D43">
        <v>56</v>
      </c>
      <c r="E43" t="s">
        <v>41</v>
      </c>
      <c r="F43" t="s">
        <v>108</v>
      </c>
      <c r="G43" t="s">
        <v>42</v>
      </c>
      <c r="H43" t="s">
        <v>69</v>
      </c>
      <c r="I43" t="s">
        <v>62</v>
      </c>
      <c r="J43">
        <v>487247</v>
      </c>
      <c r="K43">
        <v>5</v>
      </c>
      <c r="L43" s="3">
        <v>45353</v>
      </c>
      <c r="M43">
        <v>3.85</v>
      </c>
      <c r="N43" t="s">
        <v>111</v>
      </c>
      <c r="O43">
        <v>9414593257</v>
      </c>
      <c r="P43" s="3" t="s">
        <v>25</v>
      </c>
      <c r="Q43">
        <v>2024</v>
      </c>
    </row>
    <row r="44" spans="1:17" x14ac:dyDescent="0.3">
      <c r="A44">
        <v>1738</v>
      </c>
      <c r="B44" t="s">
        <v>32</v>
      </c>
      <c r="C44" t="s">
        <v>45</v>
      </c>
      <c r="D44">
        <v>28</v>
      </c>
      <c r="E44" t="s">
        <v>19</v>
      </c>
      <c r="F44" t="s">
        <v>108</v>
      </c>
      <c r="G44" t="s">
        <v>55</v>
      </c>
      <c r="H44" t="s">
        <v>28</v>
      </c>
      <c r="I44" t="s">
        <v>60</v>
      </c>
      <c r="J44">
        <v>363986</v>
      </c>
      <c r="K44">
        <v>19</v>
      </c>
      <c r="L44" s="3">
        <v>45358</v>
      </c>
      <c r="M44">
        <v>3.68</v>
      </c>
      <c r="N44" t="s">
        <v>112</v>
      </c>
      <c r="O44">
        <v>9095852094</v>
      </c>
      <c r="P44" s="3" t="s">
        <v>25</v>
      </c>
      <c r="Q44">
        <v>2024</v>
      </c>
    </row>
    <row r="45" spans="1:17" x14ac:dyDescent="0.3">
      <c r="A45">
        <v>528</v>
      </c>
      <c r="B45" t="s">
        <v>53</v>
      </c>
      <c r="C45" t="s">
        <v>92</v>
      </c>
      <c r="D45">
        <v>41</v>
      </c>
      <c r="E45" t="s">
        <v>19</v>
      </c>
      <c r="F45" t="s">
        <v>108</v>
      </c>
      <c r="G45" t="s">
        <v>27</v>
      </c>
      <c r="H45" t="s">
        <v>55</v>
      </c>
      <c r="I45" t="s">
        <v>62</v>
      </c>
      <c r="J45">
        <v>434806</v>
      </c>
      <c r="K45">
        <v>11</v>
      </c>
      <c r="L45" s="3">
        <v>45367</v>
      </c>
      <c r="M45">
        <v>3.98</v>
      </c>
      <c r="N45" t="s">
        <v>113</v>
      </c>
      <c r="O45">
        <v>9375784080</v>
      </c>
      <c r="P45" s="3" t="s">
        <v>25</v>
      </c>
      <c r="Q45">
        <v>2024</v>
      </c>
    </row>
    <row r="46" spans="1:17" x14ac:dyDescent="0.3">
      <c r="A46">
        <v>841</v>
      </c>
      <c r="B46" t="s">
        <v>17</v>
      </c>
      <c r="C46" t="s">
        <v>45</v>
      </c>
      <c r="D46">
        <v>27</v>
      </c>
      <c r="E46" t="s">
        <v>19</v>
      </c>
      <c r="F46" t="s">
        <v>108</v>
      </c>
      <c r="G46" t="s">
        <v>42</v>
      </c>
      <c r="H46" t="s">
        <v>28</v>
      </c>
      <c r="I46" t="s">
        <v>62</v>
      </c>
      <c r="J46">
        <v>305191</v>
      </c>
      <c r="K46">
        <v>10</v>
      </c>
      <c r="L46" s="3">
        <v>45424</v>
      </c>
      <c r="M46">
        <v>1.04</v>
      </c>
      <c r="N46" t="s">
        <v>114</v>
      </c>
      <c r="O46">
        <v>9016037776</v>
      </c>
      <c r="P46" s="3" t="s">
        <v>67</v>
      </c>
      <c r="Q46">
        <v>2024</v>
      </c>
    </row>
    <row r="47" spans="1:17" x14ac:dyDescent="0.3">
      <c r="A47">
        <v>1671</v>
      </c>
      <c r="B47" t="s">
        <v>17</v>
      </c>
      <c r="C47" t="s">
        <v>72</v>
      </c>
      <c r="D47">
        <v>40</v>
      </c>
      <c r="E47" t="s">
        <v>41</v>
      </c>
      <c r="F47" t="s">
        <v>108</v>
      </c>
      <c r="G47" t="s">
        <v>21</v>
      </c>
      <c r="H47" t="s">
        <v>69</v>
      </c>
      <c r="I47" t="s">
        <v>60</v>
      </c>
      <c r="J47">
        <v>366682</v>
      </c>
      <c r="K47">
        <v>10</v>
      </c>
      <c r="L47" s="3">
        <v>45610</v>
      </c>
      <c r="M47">
        <v>2.4300000000000002</v>
      </c>
      <c r="N47" t="s">
        <v>115</v>
      </c>
      <c r="O47">
        <v>8792173866</v>
      </c>
      <c r="P47" s="3" t="s">
        <v>57</v>
      </c>
      <c r="Q47">
        <v>2024</v>
      </c>
    </row>
    <row r="48" spans="1:17" x14ac:dyDescent="0.3">
      <c r="A48">
        <v>54</v>
      </c>
      <c r="B48" t="s">
        <v>68</v>
      </c>
      <c r="C48" t="s">
        <v>92</v>
      </c>
      <c r="D48">
        <v>35</v>
      </c>
      <c r="E48" t="s">
        <v>41</v>
      </c>
      <c r="F48" t="s">
        <v>108</v>
      </c>
      <c r="G48" t="s">
        <v>55</v>
      </c>
      <c r="H48" t="s">
        <v>28</v>
      </c>
      <c r="I48" t="s">
        <v>23</v>
      </c>
      <c r="J48">
        <v>445295</v>
      </c>
      <c r="K48">
        <v>9</v>
      </c>
      <c r="L48" s="3">
        <v>45632</v>
      </c>
      <c r="M48">
        <v>1.27</v>
      </c>
      <c r="N48" t="s">
        <v>116</v>
      </c>
      <c r="O48">
        <v>7509263295</v>
      </c>
      <c r="P48" s="3" t="s">
        <v>100</v>
      </c>
      <c r="Q48">
        <v>2024</v>
      </c>
    </row>
    <row r="49" spans="1:17" x14ac:dyDescent="0.3">
      <c r="A49">
        <v>1862</v>
      </c>
      <c r="B49" t="s">
        <v>85</v>
      </c>
      <c r="C49" t="s">
        <v>49</v>
      </c>
      <c r="D49">
        <v>32</v>
      </c>
      <c r="E49" t="s">
        <v>19</v>
      </c>
      <c r="F49" t="s">
        <v>108</v>
      </c>
      <c r="G49" t="s">
        <v>55</v>
      </c>
      <c r="H49" t="s">
        <v>35</v>
      </c>
      <c r="I49" t="s">
        <v>29</v>
      </c>
      <c r="J49">
        <v>327445</v>
      </c>
      <c r="K49">
        <v>18</v>
      </c>
      <c r="L49" s="3">
        <v>44950</v>
      </c>
      <c r="M49">
        <v>3.6</v>
      </c>
      <c r="N49" t="s">
        <v>117</v>
      </c>
      <c r="O49">
        <v>9358445172</v>
      </c>
      <c r="P49" s="3" t="s">
        <v>83</v>
      </c>
      <c r="Q49">
        <v>2023</v>
      </c>
    </row>
    <row r="50" spans="1:17" x14ac:dyDescent="0.3">
      <c r="A50">
        <v>994</v>
      </c>
      <c r="B50" t="s">
        <v>68</v>
      </c>
      <c r="C50" t="s">
        <v>33</v>
      </c>
      <c r="D50">
        <v>32</v>
      </c>
      <c r="E50" t="s">
        <v>41</v>
      </c>
      <c r="F50" t="s">
        <v>108</v>
      </c>
      <c r="G50" t="s">
        <v>27</v>
      </c>
      <c r="H50" t="s">
        <v>69</v>
      </c>
      <c r="I50" t="s">
        <v>29</v>
      </c>
      <c r="J50">
        <v>402481</v>
      </c>
      <c r="K50">
        <v>14</v>
      </c>
      <c r="L50" s="3">
        <v>45272</v>
      </c>
      <c r="M50">
        <v>4.66</v>
      </c>
      <c r="N50" t="s">
        <v>118</v>
      </c>
      <c r="O50">
        <v>7428081223</v>
      </c>
      <c r="P50" s="3" t="s">
        <v>100</v>
      </c>
      <c r="Q50">
        <v>2023</v>
      </c>
    </row>
    <row r="51" spans="1:17" x14ac:dyDescent="0.3">
      <c r="A51">
        <v>487</v>
      </c>
      <c r="B51" t="s">
        <v>85</v>
      </c>
      <c r="C51" t="s">
        <v>40</v>
      </c>
      <c r="D51">
        <v>31</v>
      </c>
      <c r="E51" t="s">
        <v>41</v>
      </c>
      <c r="F51" t="s">
        <v>108</v>
      </c>
      <c r="G51" t="s">
        <v>21</v>
      </c>
      <c r="H51" t="s">
        <v>55</v>
      </c>
      <c r="I51" t="s">
        <v>60</v>
      </c>
      <c r="J51">
        <v>385857</v>
      </c>
      <c r="K51">
        <v>16</v>
      </c>
      <c r="L51" s="3">
        <v>44609</v>
      </c>
      <c r="M51">
        <v>2.83</v>
      </c>
      <c r="N51" t="s">
        <v>119</v>
      </c>
      <c r="O51">
        <v>9591406519</v>
      </c>
      <c r="P51" s="3" t="s">
        <v>59</v>
      </c>
      <c r="Q51">
        <v>2022</v>
      </c>
    </row>
    <row r="52" spans="1:17" x14ac:dyDescent="0.3">
      <c r="A52">
        <v>1104</v>
      </c>
      <c r="B52" t="s">
        <v>68</v>
      </c>
      <c r="C52" t="s">
        <v>72</v>
      </c>
      <c r="D52">
        <v>51</v>
      </c>
      <c r="E52" t="s">
        <v>41</v>
      </c>
      <c r="F52" t="s">
        <v>108</v>
      </c>
      <c r="G52" t="s">
        <v>55</v>
      </c>
      <c r="H52" t="s">
        <v>22</v>
      </c>
      <c r="I52" t="s">
        <v>50</v>
      </c>
      <c r="J52">
        <v>464994</v>
      </c>
      <c r="K52">
        <v>18</v>
      </c>
      <c r="L52" s="3">
        <v>44626</v>
      </c>
      <c r="M52">
        <v>3.34</v>
      </c>
      <c r="N52" t="s">
        <v>120</v>
      </c>
      <c r="O52">
        <v>8808030117</v>
      </c>
      <c r="P52" s="3" t="s">
        <v>25</v>
      </c>
      <c r="Q52">
        <v>2022</v>
      </c>
    </row>
    <row r="53" spans="1:17" x14ac:dyDescent="0.3">
      <c r="A53">
        <v>1586</v>
      </c>
      <c r="B53" t="s">
        <v>17</v>
      </c>
      <c r="C53" t="s">
        <v>92</v>
      </c>
      <c r="D53">
        <v>58</v>
      </c>
      <c r="E53" t="s">
        <v>19</v>
      </c>
      <c r="F53" t="s">
        <v>108</v>
      </c>
      <c r="G53" t="s">
        <v>27</v>
      </c>
      <c r="H53" t="s">
        <v>55</v>
      </c>
      <c r="I53" t="s">
        <v>62</v>
      </c>
      <c r="J53">
        <v>338541</v>
      </c>
      <c r="K53">
        <v>8</v>
      </c>
      <c r="L53" s="3">
        <v>44662</v>
      </c>
      <c r="M53">
        <v>1.88</v>
      </c>
      <c r="N53" t="s">
        <v>121</v>
      </c>
      <c r="O53">
        <v>8463165038</v>
      </c>
      <c r="P53" s="3" t="s">
        <v>31</v>
      </c>
      <c r="Q53">
        <v>2022</v>
      </c>
    </row>
    <row r="54" spans="1:17" x14ac:dyDescent="0.3">
      <c r="A54">
        <v>1951</v>
      </c>
      <c r="B54" t="s">
        <v>53</v>
      </c>
      <c r="C54" t="s">
        <v>54</v>
      </c>
      <c r="D54">
        <v>34</v>
      </c>
      <c r="E54" t="s">
        <v>41</v>
      </c>
      <c r="F54" t="s">
        <v>108</v>
      </c>
      <c r="G54" t="s">
        <v>34</v>
      </c>
      <c r="H54" t="s">
        <v>35</v>
      </c>
      <c r="I54" t="s">
        <v>29</v>
      </c>
      <c r="J54">
        <v>405720</v>
      </c>
      <c r="K54">
        <v>11</v>
      </c>
      <c r="L54" s="3">
        <v>44856</v>
      </c>
      <c r="M54">
        <v>1.41</v>
      </c>
      <c r="N54" t="s">
        <v>122</v>
      </c>
      <c r="O54">
        <v>9730906213</v>
      </c>
      <c r="P54" s="3" t="s">
        <v>75</v>
      </c>
      <c r="Q54">
        <v>2022</v>
      </c>
    </row>
    <row r="55" spans="1:17" x14ac:dyDescent="0.3">
      <c r="A55">
        <v>458</v>
      </c>
      <c r="B55" t="s">
        <v>32</v>
      </c>
      <c r="C55" t="s">
        <v>49</v>
      </c>
      <c r="D55">
        <v>36</v>
      </c>
      <c r="E55" t="s">
        <v>41</v>
      </c>
      <c r="F55" t="s">
        <v>108</v>
      </c>
      <c r="G55" t="s">
        <v>42</v>
      </c>
      <c r="H55" t="s">
        <v>55</v>
      </c>
      <c r="I55" t="s">
        <v>62</v>
      </c>
      <c r="J55">
        <v>322560</v>
      </c>
      <c r="K55">
        <v>6</v>
      </c>
      <c r="L55" s="3">
        <v>44217</v>
      </c>
      <c r="M55">
        <v>2.12</v>
      </c>
      <c r="N55" t="s">
        <v>123</v>
      </c>
      <c r="O55">
        <v>7392365650</v>
      </c>
      <c r="P55" s="3" t="s">
        <v>83</v>
      </c>
      <c r="Q55">
        <v>2021</v>
      </c>
    </row>
    <row r="56" spans="1:17" x14ac:dyDescent="0.3">
      <c r="A56">
        <v>1980</v>
      </c>
      <c r="B56" t="s">
        <v>103</v>
      </c>
      <c r="C56" t="s">
        <v>45</v>
      </c>
      <c r="D56">
        <v>50</v>
      </c>
      <c r="E56" t="s">
        <v>19</v>
      </c>
      <c r="F56" t="s">
        <v>108</v>
      </c>
      <c r="G56" t="s">
        <v>34</v>
      </c>
      <c r="H56" t="s">
        <v>55</v>
      </c>
      <c r="I56" t="s">
        <v>36</v>
      </c>
      <c r="J56">
        <v>377299</v>
      </c>
      <c r="K56">
        <v>2</v>
      </c>
      <c r="L56" s="3">
        <v>44290</v>
      </c>
      <c r="M56">
        <v>2.99</v>
      </c>
      <c r="N56" t="s">
        <v>124</v>
      </c>
      <c r="O56">
        <v>9823435630</v>
      </c>
      <c r="P56" s="3" t="s">
        <v>31</v>
      </c>
      <c r="Q56">
        <v>2021</v>
      </c>
    </row>
    <row r="57" spans="1:17" x14ac:dyDescent="0.3">
      <c r="A57">
        <v>395</v>
      </c>
      <c r="B57" t="s">
        <v>39</v>
      </c>
      <c r="C57" t="s">
        <v>40</v>
      </c>
      <c r="D57">
        <v>26</v>
      </c>
      <c r="E57" t="s">
        <v>41</v>
      </c>
      <c r="F57" t="s">
        <v>108</v>
      </c>
      <c r="G57" t="s">
        <v>27</v>
      </c>
      <c r="H57" t="s">
        <v>22</v>
      </c>
      <c r="I57" t="s">
        <v>62</v>
      </c>
      <c r="J57">
        <v>313502</v>
      </c>
      <c r="K57">
        <v>2</v>
      </c>
      <c r="L57" s="3">
        <v>43882</v>
      </c>
      <c r="M57">
        <v>3.68</v>
      </c>
      <c r="N57" t="s">
        <v>125</v>
      </c>
      <c r="O57">
        <v>8207666359</v>
      </c>
      <c r="P57" s="3" t="s">
        <v>59</v>
      </c>
      <c r="Q57">
        <v>2020</v>
      </c>
    </row>
    <row r="58" spans="1:17" x14ac:dyDescent="0.3">
      <c r="A58">
        <v>1913</v>
      </c>
      <c r="B58" t="s">
        <v>53</v>
      </c>
      <c r="C58" t="s">
        <v>81</v>
      </c>
      <c r="D58">
        <v>48</v>
      </c>
      <c r="E58" t="s">
        <v>19</v>
      </c>
      <c r="F58" t="s">
        <v>108</v>
      </c>
      <c r="G58" t="s">
        <v>21</v>
      </c>
      <c r="H58" t="s">
        <v>28</v>
      </c>
      <c r="I58" t="s">
        <v>36</v>
      </c>
      <c r="J58">
        <v>450763</v>
      </c>
      <c r="K58">
        <v>0</v>
      </c>
      <c r="L58" s="3">
        <v>44167</v>
      </c>
      <c r="M58">
        <v>1.22</v>
      </c>
      <c r="N58" t="s">
        <v>126</v>
      </c>
      <c r="O58">
        <v>9581619091</v>
      </c>
      <c r="P58" s="3" t="s">
        <v>100</v>
      </c>
      <c r="Q58">
        <v>2020</v>
      </c>
    </row>
    <row r="59" spans="1:17" x14ac:dyDescent="0.3">
      <c r="A59">
        <v>814</v>
      </c>
      <c r="B59" t="s">
        <v>26</v>
      </c>
      <c r="C59" t="s">
        <v>49</v>
      </c>
      <c r="D59">
        <v>44</v>
      </c>
      <c r="E59" t="s">
        <v>19</v>
      </c>
      <c r="F59" t="s">
        <v>108</v>
      </c>
      <c r="G59" t="s">
        <v>21</v>
      </c>
      <c r="H59" t="s">
        <v>78</v>
      </c>
      <c r="I59" t="s">
        <v>36</v>
      </c>
      <c r="J59">
        <v>479598</v>
      </c>
      <c r="K59">
        <v>3</v>
      </c>
      <c r="L59" s="3">
        <v>44167</v>
      </c>
      <c r="M59">
        <v>4.7699999999999996</v>
      </c>
      <c r="N59" t="s">
        <v>127</v>
      </c>
      <c r="O59">
        <v>8634843969</v>
      </c>
      <c r="P59" s="3" t="s">
        <v>100</v>
      </c>
      <c r="Q59">
        <v>2020</v>
      </c>
    </row>
    <row r="60" spans="1:17" x14ac:dyDescent="0.3">
      <c r="A60">
        <v>1809</v>
      </c>
      <c r="B60" t="s">
        <v>48</v>
      </c>
      <c r="C60" t="s">
        <v>18</v>
      </c>
      <c r="D60">
        <v>36</v>
      </c>
      <c r="E60" t="s">
        <v>41</v>
      </c>
      <c r="F60" t="s">
        <v>108</v>
      </c>
      <c r="G60" t="s">
        <v>34</v>
      </c>
      <c r="H60" t="s">
        <v>22</v>
      </c>
      <c r="I60" t="s">
        <v>62</v>
      </c>
      <c r="J60">
        <v>485534</v>
      </c>
      <c r="K60">
        <v>6</v>
      </c>
      <c r="L60" s="3">
        <v>44187</v>
      </c>
      <c r="M60">
        <v>4.67</v>
      </c>
      <c r="N60" t="s">
        <v>128</v>
      </c>
      <c r="O60">
        <v>8827233522</v>
      </c>
      <c r="P60" s="3" t="s">
        <v>100</v>
      </c>
      <c r="Q60">
        <v>2020</v>
      </c>
    </row>
    <row r="61" spans="1:17" x14ac:dyDescent="0.3">
      <c r="A61">
        <v>1827</v>
      </c>
      <c r="B61" t="s">
        <v>44</v>
      </c>
      <c r="C61" t="s">
        <v>72</v>
      </c>
      <c r="D61">
        <v>34</v>
      </c>
      <c r="E61" t="s">
        <v>41</v>
      </c>
      <c r="F61" t="s">
        <v>108</v>
      </c>
      <c r="G61" t="s">
        <v>34</v>
      </c>
      <c r="H61" t="s">
        <v>35</v>
      </c>
      <c r="I61" t="s">
        <v>29</v>
      </c>
      <c r="J61">
        <v>481287</v>
      </c>
      <c r="K61">
        <v>13</v>
      </c>
      <c r="L61" s="3">
        <v>43572</v>
      </c>
      <c r="M61">
        <v>4.18</v>
      </c>
      <c r="N61" t="s">
        <v>129</v>
      </c>
      <c r="O61">
        <v>8662909768</v>
      </c>
      <c r="P61" s="3" t="s">
        <v>31</v>
      </c>
      <c r="Q61">
        <v>2019</v>
      </c>
    </row>
    <row r="62" spans="1:17" x14ac:dyDescent="0.3">
      <c r="A62">
        <v>1419</v>
      </c>
      <c r="B62" t="s">
        <v>103</v>
      </c>
      <c r="C62" t="s">
        <v>45</v>
      </c>
      <c r="D62">
        <v>35</v>
      </c>
      <c r="E62" t="s">
        <v>41</v>
      </c>
      <c r="F62" t="s">
        <v>108</v>
      </c>
      <c r="G62" t="s">
        <v>27</v>
      </c>
      <c r="H62" t="s">
        <v>28</v>
      </c>
      <c r="I62" t="s">
        <v>62</v>
      </c>
      <c r="J62">
        <v>359836</v>
      </c>
      <c r="K62">
        <v>8</v>
      </c>
      <c r="L62" s="3">
        <v>43601</v>
      </c>
      <c r="M62">
        <v>2.21</v>
      </c>
      <c r="N62" t="s">
        <v>130</v>
      </c>
      <c r="O62">
        <v>9596581253</v>
      </c>
      <c r="P62" s="3" t="s">
        <v>67</v>
      </c>
      <c r="Q62">
        <v>2019</v>
      </c>
    </row>
    <row r="63" spans="1:17" x14ac:dyDescent="0.3">
      <c r="A63">
        <v>1485</v>
      </c>
      <c r="B63" t="s">
        <v>39</v>
      </c>
      <c r="C63" t="s">
        <v>40</v>
      </c>
      <c r="D63">
        <v>29</v>
      </c>
      <c r="E63" t="s">
        <v>19</v>
      </c>
      <c r="F63" t="s">
        <v>108</v>
      </c>
      <c r="G63" t="s">
        <v>34</v>
      </c>
      <c r="H63" t="s">
        <v>78</v>
      </c>
      <c r="I63" t="s">
        <v>23</v>
      </c>
      <c r="J63">
        <v>431392</v>
      </c>
      <c r="K63">
        <v>19</v>
      </c>
      <c r="L63" s="3">
        <v>43623</v>
      </c>
      <c r="M63">
        <v>1.78</v>
      </c>
      <c r="N63" t="s">
        <v>131</v>
      </c>
      <c r="O63">
        <v>7299283272</v>
      </c>
      <c r="P63" s="3" t="s">
        <v>90</v>
      </c>
      <c r="Q63">
        <v>2019</v>
      </c>
    </row>
    <row r="64" spans="1:17" x14ac:dyDescent="0.3">
      <c r="A64">
        <v>593</v>
      </c>
      <c r="B64" t="s">
        <v>17</v>
      </c>
      <c r="C64" t="s">
        <v>72</v>
      </c>
      <c r="D64">
        <v>32</v>
      </c>
      <c r="E64" t="s">
        <v>41</v>
      </c>
      <c r="F64" t="s">
        <v>108</v>
      </c>
      <c r="G64" t="s">
        <v>34</v>
      </c>
      <c r="H64" t="s">
        <v>22</v>
      </c>
      <c r="I64" t="s">
        <v>29</v>
      </c>
      <c r="J64">
        <v>495482</v>
      </c>
      <c r="K64">
        <v>5</v>
      </c>
      <c r="L64" s="3">
        <v>43660</v>
      </c>
      <c r="M64">
        <v>3.82</v>
      </c>
      <c r="N64" t="s">
        <v>132</v>
      </c>
      <c r="O64">
        <v>8561950891</v>
      </c>
      <c r="P64" s="3" t="s">
        <v>38</v>
      </c>
      <c r="Q64">
        <v>2019</v>
      </c>
    </row>
    <row r="65" spans="1:17" x14ac:dyDescent="0.3">
      <c r="A65">
        <v>1291</v>
      </c>
      <c r="B65" t="s">
        <v>32</v>
      </c>
      <c r="C65" t="s">
        <v>33</v>
      </c>
      <c r="D65">
        <v>34</v>
      </c>
      <c r="E65" t="s">
        <v>41</v>
      </c>
      <c r="F65" t="s">
        <v>108</v>
      </c>
      <c r="G65" t="s">
        <v>42</v>
      </c>
      <c r="H65" t="s">
        <v>78</v>
      </c>
      <c r="I65" t="s">
        <v>36</v>
      </c>
      <c r="J65">
        <v>454143</v>
      </c>
      <c r="K65">
        <v>13</v>
      </c>
      <c r="L65" s="3">
        <v>43813</v>
      </c>
      <c r="M65">
        <v>3.74</v>
      </c>
      <c r="N65" t="s">
        <v>133</v>
      </c>
      <c r="O65">
        <v>9707401353</v>
      </c>
      <c r="P65" s="3" t="s">
        <v>100</v>
      </c>
      <c r="Q65">
        <v>2019</v>
      </c>
    </row>
    <row r="66" spans="1:17" x14ac:dyDescent="0.3">
      <c r="A66">
        <v>996</v>
      </c>
      <c r="B66" t="s">
        <v>53</v>
      </c>
      <c r="C66" t="s">
        <v>72</v>
      </c>
      <c r="D66">
        <v>35</v>
      </c>
      <c r="E66" t="s">
        <v>41</v>
      </c>
      <c r="F66" t="s">
        <v>108</v>
      </c>
      <c r="G66" t="s">
        <v>34</v>
      </c>
      <c r="H66" t="s">
        <v>28</v>
      </c>
      <c r="I66" t="s">
        <v>60</v>
      </c>
      <c r="J66">
        <v>470774</v>
      </c>
      <c r="K66">
        <v>12</v>
      </c>
      <c r="L66" s="3">
        <v>43130</v>
      </c>
      <c r="M66">
        <v>4.12</v>
      </c>
      <c r="N66" t="s">
        <v>134</v>
      </c>
      <c r="O66">
        <v>9989230532</v>
      </c>
      <c r="P66" s="3" t="s">
        <v>83</v>
      </c>
      <c r="Q66">
        <v>2018</v>
      </c>
    </row>
    <row r="67" spans="1:17" x14ac:dyDescent="0.3">
      <c r="A67">
        <v>174</v>
      </c>
      <c r="B67" t="s">
        <v>85</v>
      </c>
      <c r="C67" t="s">
        <v>65</v>
      </c>
      <c r="D67">
        <v>52</v>
      </c>
      <c r="E67" t="s">
        <v>41</v>
      </c>
      <c r="F67" t="s">
        <v>108</v>
      </c>
      <c r="G67" t="s">
        <v>34</v>
      </c>
      <c r="H67" t="s">
        <v>78</v>
      </c>
      <c r="I67" t="s">
        <v>29</v>
      </c>
      <c r="J67">
        <v>488885</v>
      </c>
      <c r="K67">
        <v>18</v>
      </c>
      <c r="L67" s="3">
        <v>43161</v>
      </c>
      <c r="M67">
        <v>4.88</v>
      </c>
      <c r="N67" t="s">
        <v>135</v>
      </c>
      <c r="O67">
        <v>8013669139</v>
      </c>
      <c r="P67" s="3" t="s">
        <v>25</v>
      </c>
      <c r="Q67">
        <v>2018</v>
      </c>
    </row>
    <row r="68" spans="1:17" x14ac:dyDescent="0.3">
      <c r="A68">
        <v>1706</v>
      </c>
      <c r="B68" t="s">
        <v>103</v>
      </c>
      <c r="C68" t="s">
        <v>18</v>
      </c>
      <c r="D68">
        <v>52</v>
      </c>
      <c r="E68" t="s">
        <v>19</v>
      </c>
      <c r="F68" t="s">
        <v>108</v>
      </c>
      <c r="G68" t="s">
        <v>27</v>
      </c>
      <c r="H68" t="s">
        <v>22</v>
      </c>
      <c r="I68" t="s">
        <v>23</v>
      </c>
      <c r="J68">
        <v>489911</v>
      </c>
      <c r="K68">
        <v>17</v>
      </c>
      <c r="L68" s="3">
        <v>43208</v>
      </c>
      <c r="M68">
        <v>1.05</v>
      </c>
      <c r="N68" t="s">
        <v>136</v>
      </c>
      <c r="O68">
        <v>7991817081</v>
      </c>
      <c r="P68" s="3" t="s">
        <v>31</v>
      </c>
      <c r="Q68">
        <v>2018</v>
      </c>
    </row>
    <row r="69" spans="1:17" x14ac:dyDescent="0.3">
      <c r="A69">
        <v>1257</v>
      </c>
      <c r="B69" t="s">
        <v>44</v>
      </c>
      <c r="C69" t="s">
        <v>72</v>
      </c>
      <c r="D69">
        <v>56</v>
      </c>
      <c r="E69" t="s">
        <v>19</v>
      </c>
      <c r="F69" t="s">
        <v>108</v>
      </c>
      <c r="G69" t="s">
        <v>34</v>
      </c>
      <c r="H69" t="s">
        <v>28</v>
      </c>
      <c r="I69" t="s">
        <v>36</v>
      </c>
      <c r="J69">
        <v>453777</v>
      </c>
      <c r="K69">
        <v>10</v>
      </c>
      <c r="L69" s="3">
        <v>43373</v>
      </c>
      <c r="M69">
        <v>2.13</v>
      </c>
      <c r="N69" t="s">
        <v>137</v>
      </c>
      <c r="O69">
        <v>7074530871</v>
      </c>
      <c r="P69" s="3" t="s">
        <v>52</v>
      </c>
      <c r="Q69">
        <v>2018</v>
      </c>
    </row>
    <row r="70" spans="1:17" x14ac:dyDescent="0.3">
      <c r="A70">
        <v>1516</v>
      </c>
      <c r="B70" t="s">
        <v>17</v>
      </c>
      <c r="C70" t="s">
        <v>40</v>
      </c>
      <c r="D70">
        <v>46</v>
      </c>
      <c r="E70" t="s">
        <v>41</v>
      </c>
      <c r="F70" t="s">
        <v>108</v>
      </c>
      <c r="G70" t="s">
        <v>27</v>
      </c>
      <c r="H70" t="s">
        <v>28</v>
      </c>
      <c r="I70" t="s">
        <v>50</v>
      </c>
      <c r="J70">
        <v>420321</v>
      </c>
      <c r="K70">
        <v>11</v>
      </c>
      <c r="L70" s="3">
        <v>42826</v>
      </c>
      <c r="M70">
        <v>3.52</v>
      </c>
      <c r="N70" t="s">
        <v>138</v>
      </c>
      <c r="O70">
        <v>9297549344</v>
      </c>
      <c r="P70" s="3" t="s">
        <v>31</v>
      </c>
      <c r="Q70">
        <v>2017</v>
      </c>
    </row>
    <row r="71" spans="1:17" x14ac:dyDescent="0.3">
      <c r="A71">
        <v>830</v>
      </c>
      <c r="B71" t="s">
        <v>44</v>
      </c>
      <c r="C71" t="s">
        <v>72</v>
      </c>
      <c r="D71">
        <v>21</v>
      </c>
      <c r="E71" t="s">
        <v>41</v>
      </c>
      <c r="F71" t="s">
        <v>108</v>
      </c>
      <c r="G71" t="s">
        <v>55</v>
      </c>
      <c r="H71" t="s">
        <v>55</v>
      </c>
      <c r="I71" t="s">
        <v>36</v>
      </c>
      <c r="J71">
        <v>354391</v>
      </c>
      <c r="K71">
        <v>17</v>
      </c>
      <c r="L71" s="3">
        <v>42451</v>
      </c>
      <c r="M71">
        <v>2.3199999999999998</v>
      </c>
      <c r="N71" t="s">
        <v>139</v>
      </c>
      <c r="O71">
        <v>7744834586</v>
      </c>
      <c r="P71" s="3" t="s">
        <v>25</v>
      </c>
      <c r="Q71">
        <v>2016</v>
      </c>
    </row>
    <row r="72" spans="1:17" x14ac:dyDescent="0.3">
      <c r="A72">
        <v>1726</v>
      </c>
      <c r="B72" t="s">
        <v>103</v>
      </c>
      <c r="C72" t="s">
        <v>40</v>
      </c>
      <c r="D72">
        <v>28</v>
      </c>
      <c r="E72" t="s">
        <v>41</v>
      </c>
      <c r="F72" t="s">
        <v>108</v>
      </c>
      <c r="G72" t="s">
        <v>27</v>
      </c>
      <c r="H72" t="s">
        <v>35</v>
      </c>
      <c r="I72" t="s">
        <v>23</v>
      </c>
      <c r="J72">
        <v>405282</v>
      </c>
      <c r="K72">
        <v>9</v>
      </c>
      <c r="L72" s="3">
        <v>42528</v>
      </c>
      <c r="M72">
        <v>2.71</v>
      </c>
      <c r="N72" t="s">
        <v>140</v>
      </c>
      <c r="O72">
        <v>8688561458</v>
      </c>
      <c r="P72" s="3" t="s">
        <v>90</v>
      </c>
      <c r="Q72">
        <v>2016</v>
      </c>
    </row>
    <row r="73" spans="1:17" x14ac:dyDescent="0.3">
      <c r="A73">
        <v>522</v>
      </c>
      <c r="B73" t="s">
        <v>17</v>
      </c>
      <c r="C73" t="s">
        <v>33</v>
      </c>
      <c r="D73">
        <v>52</v>
      </c>
      <c r="E73" t="s">
        <v>41</v>
      </c>
      <c r="F73" t="s">
        <v>108</v>
      </c>
      <c r="G73" t="s">
        <v>42</v>
      </c>
      <c r="H73" t="s">
        <v>69</v>
      </c>
      <c r="I73" t="s">
        <v>62</v>
      </c>
      <c r="J73">
        <v>331240</v>
      </c>
      <c r="K73">
        <v>9</v>
      </c>
      <c r="L73" s="3">
        <v>42697</v>
      </c>
      <c r="M73">
        <v>4.6900000000000004</v>
      </c>
      <c r="N73" t="s">
        <v>141</v>
      </c>
      <c r="O73">
        <v>8267111152</v>
      </c>
      <c r="P73" s="3" t="s">
        <v>57</v>
      </c>
      <c r="Q73">
        <v>2016</v>
      </c>
    </row>
    <row r="74" spans="1:17" x14ac:dyDescent="0.3">
      <c r="A74">
        <v>1068</v>
      </c>
      <c r="B74" t="s">
        <v>48</v>
      </c>
      <c r="C74" t="s">
        <v>18</v>
      </c>
      <c r="D74">
        <v>51</v>
      </c>
      <c r="E74" t="s">
        <v>19</v>
      </c>
      <c r="F74" t="s">
        <v>108</v>
      </c>
      <c r="G74" t="s">
        <v>21</v>
      </c>
      <c r="H74" t="s">
        <v>35</v>
      </c>
      <c r="I74" t="s">
        <v>60</v>
      </c>
      <c r="J74">
        <v>482492</v>
      </c>
      <c r="K74">
        <v>2</v>
      </c>
      <c r="L74" s="3">
        <v>42030</v>
      </c>
      <c r="M74">
        <v>4.76</v>
      </c>
      <c r="N74" t="s">
        <v>142</v>
      </c>
      <c r="O74">
        <v>8081475077</v>
      </c>
      <c r="P74" s="3" t="s">
        <v>83</v>
      </c>
      <c r="Q74">
        <v>2015</v>
      </c>
    </row>
    <row r="75" spans="1:17" x14ac:dyDescent="0.3">
      <c r="A75">
        <v>97</v>
      </c>
      <c r="B75" t="s">
        <v>53</v>
      </c>
      <c r="C75" t="s">
        <v>65</v>
      </c>
      <c r="D75">
        <v>37</v>
      </c>
      <c r="E75" t="s">
        <v>19</v>
      </c>
      <c r="F75" t="s">
        <v>108</v>
      </c>
      <c r="G75" t="s">
        <v>34</v>
      </c>
      <c r="H75" t="s">
        <v>22</v>
      </c>
      <c r="I75" t="s">
        <v>23</v>
      </c>
      <c r="J75">
        <v>498580</v>
      </c>
      <c r="K75">
        <v>5</v>
      </c>
      <c r="L75" s="3">
        <v>42039</v>
      </c>
      <c r="M75">
        <v>1.8</v>
      </c>
      <c r="N75" t="s">
        <v>143</v>
      </c>
      <c r="O75">
        <v>9818864356</v>
      </c>
      <c r="P75" s="3" t="s">
        <v>59</v>
      </c>
      <c r="Q75">
        <v>2015</v>
      </c>
    </row>
    <row r="76" spans="1:17" x14ac:dyDescent="0.3">
      <c r="A76">
        <v>21</v>
      </c>
      <c r="B76" t="s">
        <v>32</v>
      </c>
      <c r="C76" t="s">
        <v>45</v>
      </c>
      <c r="D76">
        <v>59</v>
      </c>
      <c r="E76" t="s">
        <v>19</v>
      </c>
      <c r="F76" t="s">
        <v>108</v>
      </c>
      <c r="G76" t="s">
        <v>55</v>
      </c>
      <c r="H76" t="s">
        <v>69</v>
      </c>
      <c r="I76" t="s">
        <v>60</v>
      </c>
      <c r="J76">
        <v>443417</v>
      </c>
      <c r="K76">
        <v>13</v>
      </c>
      <c r="L76" s="3">
        <v>42072</v>
      </c>
      <c r="M76">
        <v>3.57</v>
      </c>
      <c r="N76" t="s">
        <v>144</v>
      </c>
      <c r="O76">
        <v>8183487088</v>
      </c>
      <c r="P76" s="3" t="s">
        <v>25</v>
      </c>
      <c r="Q76">
        <v>2015</v>
      </c>
    </row>
    <row r="77" spans="1:17" x14ac:dyDescent="0.3">
      <c r="A77">
        <v>1122</v>
      </c>
      <c r="B77" t="s">
        <v>17</v>
      </c>
      <c r="C77" t="s">
        <v>45</v>
      </c>
      <c r="D77">
        <v>25</v>
      </c>
      <c r="E77" t="s">
        <v>19</v>
      </c>
      <c r="F77" t="s">
        <v>108</v>
      </c>
      <c r="G77" t="s">
        <v>21</v>
      </c>
      <c r="H77" t="s">
        <v>22</v>
      </c>
      <c r="I77" t="s">
        <v>62</v>
      </c>
      <c r="J77">
        <v>331298</v>
      </c>
      <c r="K77">
        <v>9</v>
      </c>
      <c r="L77" s="3">
        <v>42265</v>
      </c>
      <c r="M77">
        <v>4.68</v>
      </c>
      <c r="N77" t="s">
        <v>145</v>
      </c>
      <c r="O77">
        <v>7729927958</v>
      </c>
      <c r="P77" s="3" t="s">
        <v>52</v>
      </c>
      <c r="Q77">
        <v>2015</v>
      </c>
    </row>
    <row r="78" spans="1:17" x14ac:dyDescent="0.3">
      <c r="A78">
        <v>138</v>
      </c>
      <c r="B78" t="s">
        <v>68</v>
      </c>
      <c r="C78" t="s">
        <v>81</v>
      </c>
      <c r="D78">
        <v>54</v>
      </c>
      <c r="E78" t="s">
        <v>19</v>
      </c>
      <c r="F78" t="s">
        <v>108</v>
      </c>
      <c r="G78" t="s">
        <v>21</v>
      </c>
      <c r="H78" t="s">
        <v>55</v>
      </c>
      <c r="I78" t="s">
        <v>29</v>
      </c>
      <c r="J78">
        <v>421212</v>
      </c>
      <c r="K78">
        <v>9</v>
      </c>
      <c r="L78" s="3">
        <v>42343</v>
      </c>
      <c r="M78">
        <v>2.63</v>
      </c>
      <c r="N78" t="s">
        <v>146</v>
      </c>
      <c r="O78">
        <v>9654015633</v>
      </c>
      <c r="P78" s="3" t="s">
        <v>100</v>
      </c>
      <c r="Q78">
        <v>2015</v>
      </c>
    </row>
    <row r="79" spans="1:17" x14ac:dyDescent="0.3">
      <c r="A79">
        <v>421</v>
      </c>
      <c r="B79" t="s">
        <v>48</v>
      </c>
      <c r="C79" t="s">
        <v>40</v>
      </c>
      <c r="D79">
        <v>35</v>
      </c>
      <c r="E79" t="s">
        <v>41</v>
      </c>
      <c r="F79" t="s">
        <v>147</v>
      </c>
      <c r="G79" t="s">
        <v>21</v>
      </c>
      <c r="H79" t="s">
        <v>35</v>
      </c>
      <c r="I79" t="s">
        <v>29</v>
      </c>
      <c r="J79">
        <v>469237</v>
      </c>
      <c r="K79">
        <v>12</v>
      </c>
      <c r="L79" s="3">
        <v>45334</v>
      </c>
      <c r="M79">
        <v>3.6</v>
      </c>
      <c r="N79" t="s">
        <v>148</v>
      </c>
      <c r="O79">
        <v>9819793170</v>
      </c>
      <c r="P79" s="3" t="s">
        <v>59</v>
      </c>
      <c r="Q79">
        <v>2024</v>
      </c>
    </row>
    <row r="80" spans="1:17" x14ac:dyDescent="0.3">
      <c r="A80">
        <v>1001</v>
      </c>
      <c r="B80" t="s">
        <v>17</v>
      </c>
      <c r="C80" t="s">
        <v>72</v>
      </c>
      <c r="D80">
        <v>48</v>
      </c>
      <c r="E80" t="s">
        <v>41</v>
      </c>
      <c r="F80" t="s">
        <v>147</v>
      </c>
      <c r="G80" t="s">
        <v>55</v>
      </c>
      <c r="H80" t="s">
        <v>78</v>
      </c>
      <c r="I80" t="s">
        <v>23</v>
      </c>
      <c r="J80">
        <v>401142</v>
      </c>
      <c r="K80">
        <v>0</v>
      </c>
      <c r="L80" s="3">
        <v>45416</v>
      </c>
      <c r="M80">
        <v>4.9800000000000004</v>
      </c>
      <c r="N80" t="s">
        <v>149</v>
      </c>
      <c r="O80">
        <v>7124896114</v>
      </c>
      <c r="P80" s="3" t="s">
        <v>67</v>
      </c>
      <c r="Q80">
        <v>2024</v>
      </c>
    </row>
    <row r="81" spans="1:17" x14ac:dyDescent="0.3">
      <c r="A81">
        <v>362</v>
      </c>
      <c r="B81" t="s">
        <v>85</v>
      </c>
      <c r="C81" t="s">
        <v>81</v>
      </c>
      <c r="D81">
        <v>23</v>
      </c>
      <c r="E81" t="s">
        <v>41</v>
      </c>
      <c r="F81" t="s">
        <v>147</v>
      </c>
      <c r="G81" t="s">
        <v>55</v>
      </c>
      <c r="H81" t="s">
        <v>78</v>
      </c>
      <c r="I81" t="s">
        <v>60</v>
      </c>
      <c r="J81">
        <v>398601</v>
      </c>
      <c r="K81">
        <v>10</v>
      </c>
      <c r="L81" s="3">
        <v>45464</v>
      </c>
      <c r="M81">
        <v>3.22</v>
      </c>
      <c r="N81" t="s">
        <v>150</v>
      </c>
      <c r="O81">
        <v>9974379702</v>
      </c>
      <c r="P81" s="3" t="s">
        <v>90</v>
      </c>
      <c r="Q81">
        <v>2024</v>
      </c>
    </row>
    <row r="82" spans="1:17" x14ac:dyDescent="0.3">
      <c r="A82">
        <v>1769</v>
      </c>
      <c r="B82" t="s">
        <v>26</v>
      </c>
      <c r="C82" t="s">
        <v>81</v>
      </c>
      <c r="D82">
        <v>37</v>
      </c>
      <c r="E82" t="s">
        <v>19</v>
      </c>
      <c r="F82" t="s">
        <v>147</v>
      </c>
      <c r="G82" t="s">
        <v>55</v>
      </c>
      <c r="H82" t="s">
        <v>22</v>
      </c>
      <c r="I82" t="s">
        <v>23</v>
      </c>
      <c r="J82">
        <v>310683</v>
      </c>
      <c r="K82">
        <v>11</v>
      </c>
      <c r="L82" s="3">
        <v>44938</v>
      </c>
      <c r="M82">
        <v>2.11</v>
      </c>
      <c r="N82" t="s">
        <v>151</v>
      </c>
      <c r="O82">
        <v>8650619541</v>
      </c>
      <c r="P82" s="3" t="s">
        <v>83</v>
      </c>
      <c r="Q82">
        <v>2023</v>
      </c>
    </row>
    <row r="83" spans="1:17" x14ac:dyDescent="0.3">
      <c r="A83">
        <v>314</v>
      </c>
      <c r="B83" t="s">
        <v>17</v>
      </c>
      <c r="C83" t="s">
        <v>92</v>
      </c>
      <c r="D83">
        <v>43</v>
      </c>
      <c r="E83" t="s">
        <v>19</v>
      </c>
      <c r="F83" t="s">
        <v>147</v>
      </c>
      <c r="G83" t="s">
        <v>27</v>
      </c>
      <c r="H83" t="s">
        <v>35</v>
      </c>
      <c r="I83" t="s">
        <v>29</v>
      </c>
      <c r="J83">
        <v>348361</v>
      </c>
      <c r="K83">
        <v>5</v>
      </c>
      <c r="L83" s="3">
        <v>45034</v>
      </c>
      <c r="M83">
        <v>4.2</v>
      </c>
      <c r="N83" t="s">
        <v>152</v>
      </c>
      <c r="O83">
        <v>8036654419</v>
      </c>
      <c r="P83" s="3" t="s">
        <v>31</v>
      </c>
      <c r="Q83">
        <v>2023</v>
      </c>
    </row>
    <row r="84" spans="1:17" x14ac:dyDescent="0.3">
      <c r="A84">
        <v>1680</v>
      </c>
      <c r="B84" t="s">
        <v>17</v>
      </c>
      <c r="C84" t="s">
        <v>81</v>
      </c>
      <c r="D84">
        <v>30</v>
      </c>
      <c r="E84" t="s">
        <v>19</v>
      </c>
      <c r="F84" t="s">
        <v>147</v>
      </c>
      <c r="G84" t="s">
        <v>27</v>
      </c>
      <c r="H84" t="s">
        <v>35</v>
      </c>
      <c r="I84" t="s">
        <v>29</v>
      </c>
      <c r="J84">
        <v>332219</v>
      </c>
      <c r="K84">
        <v>19</v>
      </c>
      <c r="L84" s="3">
        <v>45246</v>
      </c>
      <c r="M84">
        <v>4.55</v>
      </c>
      <c r="N84" t="s">
        <v>153</v>
      </c>
      <c r="O84">
        <v>8090563317</v>
      </c>
      <c r="P84" s="3" t="s">
        <v>57</v>
      </c>
      <c r="Q84">
        <v>2023</v>
      </c>
    </row>
    <row r="85" spans="1:17" x14ac:dyDescent="0.3">
      <c r="A85">
        <v>1477</v>
      </c>
      <c r="B85" t="s">
        <v>32</v>
      </c>
      <c r="C85" t="s">
        <v>92</v>
      </c>
      <c r="D85">
        <v>47</v>
      </c>
      <c r="E85" t="s">
        <v>19</v>
      </c>
      <c r="F85" t="s">
        <v>147</v>
      </c>
      <c r="G85" t="s">
        <v>55</v>
      </c>
      <c r="H85" t="s">
        <v>28</v>
      </c>
      <c r="I85" t="s">
        <v>62</v>
      </c>
      <c r="J85">
        <v>344667</v>
      </c>
      <c r="K85">
        <v>1</v>
      </c>
      <c r="L85" s="3">
        <v>44569</v>
      </c>
      <c r="M85">
        <v>3.24</v>
      </c>
      <c r="N85" t="s">
        <v>154</v>
      </c>
      <c r="O85">
        <v>9716921073</v>
      </c>
      <c r="P85" s="3" t="s">
        <v>83</v>
      </c>
      <c r="Q85">
        <v>2022</v>
      </c>
    </row>
    <row r="86" spans="1:17" x14ac:dyDescent="0.3">
      <c r="A86">
        <v>852</v>
      </c>
      <c r="B86" t="s">
        <v>68</v>
      </c>
      <c r="C86" t="s">
        <v>18</v>
      </c>
      <c r="D86">
        <v>59</v>
      </c>
      <c r="E86" t="s">
        <v>41</v>
      </c>
      <c r="F86" t="s">
        <v>147</v>
      </c>
      <c r="G86" t="s">
        <v>21</v>
      </c>
      <c r="H86" t="s">
        <v>28</v>
      </c>
      <c r="I86" t="s">
        <v>36</v>
      </c>
      <c r="J86">
        <v>427791</v>
      </c>
      <c r="K86">
        <v>3</v>
      </c>
      <c r="L86" s="3">
        <v>44658</v>
      </c>
      <c r="M86">
        <v>3.01</v>
      </c>
      <c r="N86" t="s">
        <v>155</v>
      </c>
      <c r="O86">
        <v>8910270348</v>
      </c>
      <c r="P86" s="3" t="s">
        <v>31</v>
      </c>
      <c r="Q86">
        <v>2022</v>
      </c>
    </row>
    <row r="87" spans="1:17" x14ac:dyDescent="0.3">
      <c r="A87">
        <v>1969</v>
      </c>
      <c r="B87" t="s">
        <v>39</v>
      </c>
      <c r="C87" t="s">
        <v>92</v>
      </c>
      <c r="D87">
        <v>24</v>
      </c>
      <c r="E87" t="s">
        <v>41</v>
      </c>
      <c r="F87" t="s">
        <v>147</v>
      </c>
      <c r="G87" t="s">
        <v>42</v>
      </c>
      <c r="H87" t="s">
        <v>22</v>
      </c>
      <c r="I87" t="s">
        <v>62</v>
      </c>
      <c r="J87">
        <v>427800</v>
      </c>
      <c r="K87">
        <v>16</v>
      </c>
      <c r="L87" s="3">
        <v>44670</v>
      </c>
      <c r="M87">
        <v>4.1500000000000004</v>
      </c>
      <c r="N87" t="s">
        <v>156</v>
      </c>
      <c r="O87">
        <v>7859561851</v>
      </c>
      <c r="P87" s="3" t="s">
        <v>31</v>
      </c>
      <c r="Q87">
        <v>2022</v>
      </c>
    </row>
    <row r="88" spans="1:17" x14ac:dyDescent="0.3">
      <c r="A88">
        <v>1958</v>
      </c>
      <c r="B88" t="s">
        <v>53</v>
      </c>
      <c r="C88" t="s">
        <v>72</v>
      </c>
      <c r="D88">
        <v>24</v>
      </c>
      <c r="E88" t="s">
        <v>19</v>
      </c>
      <c r="F88" t="s">
        <v>147</v>
      </c>
      <c r="G88" t="s">
        <v>76</v>
      </c>
      <c r="H88" t="s">
        <v>78</v>
      </c>
      <c r="I88" t="s">
        <v>62</v>
      </c>
      <c r="J88">
        <v>491898</v>
      </c>
      <c r="K88">
        <v>17</v>
      </c>
      <c r="L88" s="3">
        <v>44685</v>
      </c>
      <c r="M88">
        <v>1.64</v>
      </c>
      <c r="N88" t="s">
        <v>157</v>
      </c>
      <c r="O88">
        <v>8085312659</v>
      </c>
      <c r="P88" s="3" t="s">
        <v>67</v>
      </c>
      <c r="Q88">
        <v>2022</v>
      </c>
    </row>
    <row r="89" spans="1:17" x14ac:dyDescent="0.3">
      <c r="A89">
        <v>898</v>
      </c>
      <c r="B89" t="s">
        <v>32</v>
      </c>
      <c r="C89" t="s">
        <v>49</v>
      </c>
      <c r="D89">
        <v>35</v>
      </c>
      <c r="E89" t="s">
        <v>19</v>
      </c>
      <c r="F89" t="s">
        <v>147</v>
      </c>
      <c r="G89" t="s">
        <v>55</v>
      </c>
      <c r="H89" t="s">
        <v>55</v>
      </c>
      <c r="I89" t="s">
        <v>60</v>
      </c>
      <c r="J89">
        <v>405590</v>
      </c>
      <c r="K89">
        <v>6</v>
      </c>
      <c r="L89" s="3">
        <v>44754</v>
      </c>
      <c r="M89">
        <v>3.7</v>
      </c>
      <c r="N89" t="s">
        <v>158</v>
      </c>
      <c r="O89">
        <v>9450715166</v>
      </c>
      <c r="P89" s="3" t="s">
        <v>38</v>
      </c>
      <c r="Q89">
        <v>2022</v>
      </c>
    </row>
    <row r="90" spans="1:17" x14ac:dyDescent="0.3">
      <c r="A90">
        <v>1090</v>
      </c>
      <c r="B90" t="s">
        <v>26</v>
      </c>
      <c r="C90" t="s">
        <v>18</v>
      </c>
      <c r="D90">
        <v>37</v>
      </c>
      <c r="E90" t="s">
        <v>41</v>
      </c>
      <c r="F90" t="s">
        <v>147</v>
      </c>
      <c r="G90" t="s">
        <v>55</v>
      </c>
      <c r="H90" t="s">
        <v>22</v>
      </c>
      <c r="I90" t="s">
        <v>36</v>
      </c>
      <c r="J90">
        <v>485175</v>
      </c>
      <c r="K90">
        <v>3</v>
      </c>
      <c r="L90" s="3">
        <v>44852</v>
      </c>
      <c r="M90">
        <v>4.43</v>
      </c>
      <c r="N90" t="s">
        <v>159</v>
      </c>
      <c r="O90">
        <v>8573132266</v>
      </c>
      <c r="P90" s="3" t="s">
        <v>75</v>
      </c>
      <c r="Q90">
        <v>2022</v>
      </c>
    </row>
    <row r="91" spans="1:17" x14ac:dyDescent="0.3">
      <c r="A91">
        <v>245</v>
      </c>
      <c r="B91" t="s">
        <v>48</v>
      </c>
      <c r="C91" t="s">
        <v>45</v>
      </c>
      <c r="D91">
        <v>54</v>
      </c>
      <c r="E91" t="s">
        <v>41</v>
      </c>
      <c r="F91" t="s">
        <v>147</v>
      </c>
      <c r="G91" t="s">
        <v>27</v>
      </c>
      <c r="H91" t="s">
        <v>69</v>
      </c>
      <c r="I91" t="s">
        <v>29</v>
      </c>
      <c r="J91">
        <v>423609</v>
      </c>
      <c r="K91">
        <v>6</v>
      </c>
      <c r="L91" s="3">
        <v>44401</v>
      </c>
      <c r="M91">
        <v>1.29</v>
      </c>
      <c r="N91" t="s">
        <v>160</v>
      </c>
      <c r="O91">
        <v>8757333044</v>
      </c>
      <c r="P91" s="3" t="s">
        <v>38</v>
      </c>
      <c r="Q91">
        <v>2021</v>
      </c>
    </row>
    <row r="92" spans="1:17" x14ac:dyDescent="0.3">
      <c r="A92">
        <v>685</v>
      </c>
      <c r="B92" t="s">
        <v>103</v>
      </c>
      <c r="C92" t="s">
        <v>81</v>
      </c>
      <c r="D92">
        <v>59</v>
      </c>
      <c r="E92" t="s">
        <v>41</v>
      </c>
      <c r="F92" t="s">
        <v>147</v>
      </c>
      <c r="G92" t="s">
        <v>27</v>
      </c>
      <c r="H92" t="s">
        <v>55</v>
      </c>
      <c r="I92" t="s">
        <v>23</v>
      </c>
      <c r="J92">
        <v>435237</v>
      </c>
      <c r="K92">
        <v>9</v>
      </c>
      <c r="L92" s="3">
        <v>44541</v>
      </c>
      <c r="M92">
        <v>1.48</v>
      </c>
      <c r="N92" t="s">
        <v>161</v>
      </c>
      <c r="O92">
        <v>7303833152</v>
      </c>
      <c r="P92" s="3" t="s">
        <v>100</v>
      </c>
      <c r="Q92">
        <v>2021</v>
      </c>
    </row>
    <row r="93" spans="1:17" x14ac:dyDescent="0.3">
      <c r="A93">
        <v>833</v>
      </c>
      <c r="B93" t="s">
        <v>103</v>
      </c>
      <c r="C93" t="s">
        <v>54</v>
      </c>
      <c r="D93">
        <v>41</v>
      </c>
      <c r="E93" t="s">
        <v>41</v>
      </c>
      <c r="F93" t="s">
        <v>147</v>
      </c>
      <c r="G93" t="s">
        <v>34</v>
      </c>
      <c r="H93" t="s">
        <v>78</v>
      </c>
      <c r="I93" t="s">
        <v>50</v>
      </c>
      <c r="J93">
        <v>412945</v>
      </c>
      <c r="K93">
        <v>15</v>
      </c>
      <c r="L93" s="3">
        <v>43912</v>
      </c>
      <c r="M93">
        <v>1.86</v>
      </c>
      <c r="N93" t="s">
        <v>162</v>
      </c>
      <c r="O93">
        <v>9787671362</v>
      </c>
      <c r="P93" s="3" t="s">
        <v>25</v>
      </c>
      <c r="Q93">
        <v>2020</v>
      </c>
    </row>
    <row r="94" spans="1:17" x14ac:dyDescent="0.3">
      <c r="A94">
        <v>995</v>
      </c>
      <c r="B94" t="s">
        <v>53</v>
      </c>
      <c r="C94" t="s">
        <v>18</v>
      </c>
      <c r="D94">
        <v>39</v>
      </c>
      <c r="E94" t="s">
        <v>41</v>
      </c>
      <c r="F94" t="s">
        <v>147</v>
      </c>
      <c r="G94" t="s">
        <v>34</v>
      </c>
      <c r="H94" t="s">
        <v>55</v>
      </c>
      <c r="I94" t="s">
        <v>29</v>
      </c>
      <c r="J94">
        <v>407396</v>
      </c>
      <c r="K94">
        <v>14</v>
      </c>
      <c r="L94" s="3">
        <v>43919</v>
      </c>
      <c r="M94">
        <v>3.06</v>
      </c>
      <c r="N94" t="s">
        <v>163</v>
      </c>
      <c r="O94">
        <v>7646756827</v>
      </c>
      <c r="P94" s="3" t="s">
        <v>25</v>
      </c>
      <c r="Q94">
        <v>2020</v>
      </c>
    </row>
    <row r="95" spans="1:17" x14ac:dyDescent="0.3">
      <c r="A95">
        <v>970</v>
      </c>
      <c r="B95" t="s">
        <v>68</v>
      </c>
      <c r="C95" t="s">
        <v>49</v>
      </c>
      <c r="D95">
        <v>35</v>
      </c>
      <c r="E95" t="s">
        <v>41</v>
      </c>
      <c r="F95" t="s">
        <v>147</v>
      </c>
      <c r="G95" t="s">
        <v>34</v>
      </c>
      <c r="H95" t="s">
        <v>55</v>
      </c>
      <c r="I95" t="s">
        <v>29</v>
      </c>
      <c r="J95">
        <v>478677</v>
      </c>
      <c r="K95">
        <v>16</v>
      </c>
      <c r="L95" s="3">
        <v>43962</v>
      </c>
      <c r="M95">
        <v>2.06</v>
      </c>
      <c r="N95" t="s">
        <v>164</v>
      </c>
      <c r="O95">
        <v>9240194222</v>
      </c>
      <c r="P95" s="3" t="s">
        <v>67</v>
      </c>
      <c r="Q95">
        <v>2020</v>
      </c>
    </row>
    <row r="96" spans="1:17" x14ac:dyDescent="0.3">
      <c r="A96">
        <v>194</v>
      </c>
      <c r="B96" t="s">
        <v>68</v>
      </c>
      <c r="C96" t="s">
        <v>65</v>
      </c>
      <c r="D96">
        <v>48</v>
      </c>
      <c r="E96" t="s">
        <v>19</v>
      </c>
      <c r="F96" t="s">
        <v>147</v>
      </c>
      <c r="G96" t="s">
        <v>34</v>
      </c>
      <c r="H96" t="s">
        <v>22</v>
      </c>
      <c r="I96" t="s">
        <v>23</v>
      </c>
      <c r="J96">
        <v>308582</v>
      </c>
      <c r="K96">
        <v>17</v>
      </c>
      <c r="L96" s="3">
        <v>44084</v>
      </c>
      <c r="M96">
        <v>4.74</v>
      </c>
      <c r="N96" t="s">
        <v>165</v>
      </c>
      <c r="O96">
        <v>9055344762</v>
      </c>
      <c r="P96" s="3" t="s">
        <v>52</v>
      </c>
      <c r="Q96">
        <v>2020</v>
      </c>
    </row>
    <row r="97" spans="1:17" x14ac:dyDescent="0.3">
      <c r="A97">
        <v>320</v>
      </c>
      <c r="B97" t="s">
        <v>53</v>
      </c>
      <c r="C97" t="s">
        <v>92</v>
      </c>
      <c r="D97">
        <v>21</v>
      </c>
      <c r="E97" t="s">
        <v>19</v>
      </c>
      <c r="F97" t="s">
        <v>147</v>
      </c>
      <c r="G97" t="s">
        <v>42</v>
      </c>
      <c r="H97" t="s">
        <v>35</v>
      </c>
      <c r="I97" t="s">
        <v>23</v>
      </c>
      <c r="J97">
        <v>342912</v>
      </c>
      <c r="K97">
        <v>7</v>
      </c>
      <c r="L97" s="3">
        <v>43501</v>
      </c>
      <c r="M97">
        <v>2.75</v>
      </c>
      <c r="N97" t="s">
        <v>166</v>
      </c>
      <c r="O97">
        <v>7685738793</v>
      </c>
      <c r="P97" s="3" t="s">
        <v>59</v>
      </c>
      <c r="Q97">
        <v>2019</v>
      </c>
    </row>
    <row r="98" spans="1:17" x14ac:dyDescent="0.3">
      <c r="A98">
        <v>1308</v>
      </c>
      <c r="B98" t="s">
        <v>44</v>
      </c>
      <c r="C98" t="s">
        <v>33</v>
      </c>
      <c r="D98">
        <v>36</v>
      </c>
      <c r="E98" t="s">
        <v>19</v>
      </c>
      <c r="F98" t="s">
        <v>147</v>
      </c>
      <c r="G98" t="s">
        <v>27</v>
      </c>
      <c r="H98" t="s">
        <v>55</v>
      </c>
      <c r="I98" t="s">
        <v>29</v>
      </c>
      <c r="J98">
        <v>322446</v>
      </c>
      <c r="K98">
        <v>8</v>
      </c>
      <c r="L98" s="3">
        <v>43559</v>
      </c>
      <c r="M98">
        <v>3.98</v>
      </c>
      <c r="N98" t="s">
        <v>167</v>
      </c>
      <c r="O98">
        <v>7714318292</v>
      </c>
      <c r="P98" s="3" t="s">
        <v>31</v>
      </c>
      <c r="Q98">
        <v>2019</v>
      </c>
    </row>
    <row r="99" spans="1:17" x14ac:dyDescent="0.3">
      <c r="A99">
        <v>549</v>
      </c>
      <c r="B99" t="s">
        <v>44</v>
      </c>
      <c r="C99" t="s">
        <v>18</v>
      </c>
      <c r="D99">
        <v>24</v>
      </c>
      <c r="E99" t="s">
        <v>41</v>
      </c>
      <c r="F99" t="s">
        <v>147</v>
      </c>
      <c r="G99" t="s">
        <v>21</v>
      </c>
      <c r="H99" t="s">
        <v>28</v>
      </c>
      <c r="I99" t="s">
        <v>23</v>
      </c>
      <c r="J99">
        <v>488256</v>
      </c>
      <c r="K99">
        <v>5</v>
      </c>
      <c r="L99" s="3">
        <v>43688</v>
      </c>
      <c r="M99">
        <v>2.16</v>
      </c>
      <c r="N99" t="s">
        <v>168</v>
      </c>
      <c r="O99">
        <v>7991175285</v>
      </c>
      <c r="P99" s="3" t="s">
        <v>47</v>
      </c>
      <c r="Q99">
        <v>2019</v>
      </c>
    </row>
    <row r="100" spans="1:17" x14ac:dyDescent="0.3">
      <c r="A100">
        <v>1879</v>
      </c>
      <c r="B100" t="s">
        <v>68</v>
      </c>
      <c r="C100" t="s">
        <v>54</v>
      </c>
      <c r="D100">
        <v>49</v>
      </c>
      <c r="E100" t="s">
        <v>41</v>
      </c>
      <c r="F100" t="s">
        <v>147</v>
      </c>
      <c r="G100" t="s">
        <v>27</v>
      </c>
      <c r="H100" t="s">
        <v>22</v>
      </c>
      <c r="I100" t="s">
        <v>60</v>
      </c>
      <c r="J100">
        <v>388004</v>
      </c>
      <c r="K100">
        <v>17</v>
      </c>
      <c r="L100" s="3">
        <v>43182</v>
      </c>
      <c r="M100">
        <v>3.26</v>
      </c>
      <c r="N100" t="s">
        <v>169</v>
      </c>
      <c r="O100">
        <v>9575866965</v>
      </c>
      <c r="P100" s="3" t="s">
        <v>25</v>
      </c>
      <c r="Q100">
        <v>2018</v>
      </c>
    </row>
    <row r="101" spans="1:17" x14ac:dyDescent="0.3">
      <c r="A101">
        <v>1253</v>
      </c>
      <c r="B101" t="s">
        <v>53</v>
      </c>
      <c r="C101" t="s">
        <v>18</v>
      </c>
      <c r="D101">
        <v>59</v>
      </c>
      <c r="E101" t="s">
        <v>41</v>
      </c>
      <c r="F101" t="s">
        <v>147</v>
      </c>
      <c r="G101" t="s">
        <v>27</v>
      </c>
      <c r="H101" t="s">
        <v>69</v>
      </c>
      <c r="I101" t="s">
        <v>36</v>
      </c>
      <c r="J101">
        <v>436925</v>
      </c>
      <c r="K101">
        <v>9</v>
      </c>
      <c r="L101" s="3">
        <v>42770</v>
      </c>
      <c r="M101">
        <v>2.38</v>
      </c>
      <c r="N101" t="s">
        <v>170</v>
      </c>
      <c r="O101">
        <v>9087715969</v>
      </c>
      <c r="P101" s="3" t="s">
        <v>59</v>
      </c>
      <c r="Q101">
        <v>2017</v>
      </c>
    </row>
    <row r="102" spans="1:17" x14ac:dyDescent="0.3">
      <c r="A102">
        <v>216</v>
      </c>
      <c r="B102" t="s">
        <v>85</v>
      </c>
      <c r="C102" t="s">
        <v>92</v>
      </c>
      <c r="D102">
        <v>49</v>
      </c>
      <c r="E102" t="s">
        <v>19</v>
      </c>
      <c r="F102" t="s">
        <v>147</v>
      </c>
      <c r="G102" t="s">
        <v>34</v>
      </c>
      <c r="H102" t="s">
        <v>22</v>
      </c>
      <c r="I102" t="s">
        <v>36</v>
      </c>
      <c r="J102">
        <v>348111</v>
      </c>
      <c r="K102">
        <v>19</v>
      </c>
      <c r="L102" s="3">
        <v>42858</v>
      </c>
      <c r="M102">
        <v>2.83</v>
      </c>
      <c r="N102" t="s">
        <v>171</v>
      </c>
      <c r="O102">
        <v>9704601444</v>
      </c>
      <c r="P102" s="3" t="s">
        <v>67</v>
      </c>
      <c r="Q102">
        <v>2017</v>
      </c>
    </row>
    <row r="103" spans="1:17" x14ac:dyDescent="0.3">
      <c r="A103">
        <v>441</v>
      </c>
      <c r="B103" t="s">
        <v>68</v>
      </c>
      <c r="C103" t="s">
        <v>45</v>
      </c>
      <c r="D103">
        <v>31</v>
      </c>
      <c r="E103" t="s">
        <v>41</v>
      </c>
      <c r="F103" t="s">
        <v>147</v>
      </c>
      <c r="G103" t="s">
        <v>34</v>
      </c>
      <c r="H103" t="s">
        <v>22</v>
      </c>
      <c r="I103" t="s">
        <v>29</v>
      </c>
      <c r="J103">
        <v>485137</v>
      </c>
      <c r="K103">
        <v>3</v>
      </c>
      <c r="L103" s="3">
        <v>42943</v>
      </c>
      <c r="M103">
        <v>2.78</v>
      </c>
      <c r="N103" t="s">
        <v>172</v>
      </c>
      <c r="O103">
        <v>8816965733</v>
      </c>
      <c r="P103" s="3" t="s">
        <v>38</v>
      </c>
      <c r="Q103">
        <v>2017</v>
      </c>
    </row>
    <row r="104" spans="1:17" x14ac:dyDescent="0.3">
      <c r="A104">
        <v>190</v>
      </c>
      <c r="B104" t="s">
        <v>17</v>
      </c>
      <c r="C104" t="s">
        <v>54</v>
      </c>
      <c r="D104">
        <v>60</v>
      </c>
      <c r="E104" t="s">
        <v>19</v>
      </c>
      <c r="F104" t="s">
        <v>147</v>
      </c>
      <c r="G104" t="s">
        <v>27</v>
      </c>
      <c r="H104" t="s">
        <v>35</v>
      </c>
      <c r="I104" t="s">
        <v>29</v>
      </c>
      <c r="J104">
        <v>342482</v>
      </c>
      <c r="K104">
        <v>9</v>
      </c>
      <c r="L104" s="3">
        <v>42969</v>
      </c>
      <c r="M104">
        <v>2.59</v>
      </c>
      <c r="N104" t="s">
        <v>173</v>
      </c>
      <c r="O104">
        <v>7588931535</v>
      </c>
      <c r="P104" s="3" t="s">
        <v>47</v>
      </c>
      <c r="Q104">
        <v>2017</v>
      </c>
    </row>
    <row r="105" spans="1:17" x14ac:dyDescent="0.3">
      <c r="A105">
        <v>1311</v>
      </c>
      <c r="B105" t="s">
        <v>26</v>
      </c>
      <c r="C105" t="s">
        <v>45</v>
      </c>
      <c r="D105">
        <v>44</v>
      </c>
      <c r="E105" t="s">
        <v>41</v>
      </c>
      <c r="F105" t="s">
        <v>147</v>
      </c>
      <c r="G105" t="s">
        <v>55</v>
      </c>
      <c r="H105" t="s">
        <v>69</v>
      </c>
      <c r="I105" t="s">
        <v>36</v>
      </c>
      <c r="J105">
        <v>367814</v>
      </c>
      <c r="K105">
        <v>6</v>
      </c>
      <c r="L105" s="3">
        <v>42997</v>
      </c>
      <c r="M105">
        <v>1</v>
      </c>
      <c r="N105" t="s">
        <v>174</v>
      </c>
      <c r="O105">
        <v>9226439794</v>
      </c>
      <c r="P105" s="3" t="s">
        <v>52</v>
      </c>
      <c r="Q105">
        <v>2017</v>
      </c>
    </row>
    <row r="106" spans="1:17" x14ac:dyDescent="0.3">
      <c r="A106">
        <v>146</v>
      </c>
      <c r="B106" t="s">
        <v>44</v>
      </c>
      <c r="C106" t="s">
        <v>72</v>
      </c>
      <c r="D106">
        <v>38</v>
      </c>
      <c r="E106" t="s">
        <v>19</v>
      </c>
      <c r="F106" t="s">
        <v>147</v>
      </c>
      <c r="G106" t="s">
        <v>21</v>
      </c>
      <c r="H106" t="s">
        <v>78</v>
      </c>
      <c r="I106" t="s">
        <v>50</v>
      </c>
      <c r="J106">
        <v>452370</v>
      </c>
      <c r="K106">
        <v>8</v>
      </c>
      <c r="L106" s="3">
        <v>42998</v>
      </c>
      <c r="M106">
        <v>1.26</v>
      </c>
      <c r="N106" t="s">
        <v>175</v>
      </c>
      <c r="O106">
        <v>7922460235</v>
      </c>
      <c r="P106" s="3" t="s">
        <v>52</v>
      </c>
      <c r="Q106">
        <v>2017</v>
      </c>
    </row>
    <row r="107" spans="1:17" x14ac:dyDescent="0.3">
      <c r="A107">
        <v>606</v>
      </c>
      <c r="B107" t="s">
        <v>103</v>
      </c>
      <c r="C107" t="s">
        <v>92</v>
      </c>
      <c r="D107">
        <v>34</v>
      </c>
      <c r="E107" t="s">
        <v>19</v>
      </c>
      <c r="F107" t="s">
        <v>147</v>
      </c>
      <c r="G107" t="s">
        <v>21</v>
      </c>
      <c r="H107" t="s">
        <v>22</v>
      </c>
      <c r="I107" t="s">
        <v>50</v>
      </c>
      <c r="J107">
        <v>327170</v>
      </c>
      <c r="K107">
        <v>4</v>
      </c>
      <c r="L107" s="3">
        <v>43061</v>
      </c>
      <c r="M107">
        <v>4.22</v>
      </c>
      <c r="N107" t="s">
        <v>176</v>
      </c>
      <c r="O107">
        <v>8376986095</v>
      </c>
      <c r="P107" s="3" t="s">
        <v>57</v>
      </c>
      <c r="Q107">
        <v>2017</v>
      </c>
    </row>
    <row r="108" spans="1:17" x14ac:dyDescent="0.3">
      <c r="A108">
        <v>1573</v>
      </c>
      <c r="B108" t="s">
        <v>32</v>
      </c>
      <c r="C108" t="s">
        <v>18</v>
      </c>
      <c r="D108">
        <v>47</v>
      </c>
      <c r="E108" t="s">
        <v>41</v>
      </c>
      <c r="F108" t="s">
        <v>147</v>
      </c>
      <c r="G108" t="s">
        <v>42</v>
      </c>
      <c r="H108" t="s">
        <v>69</v>
      </c>
      <c r="I108" t="s">
        <v>36</v>
      </c>
      <c r="J108">
        <v>486284</v>
      </c>
      <c r="K108">
        <v>2</v>
      </c>
      <c r="L108" s="3">
        <v>43073</v>
      </c>
      <c r="M108">
        <v>2.19</v>
      </c>
      <c r="N108" t="s">
        <v>177</v>
      </c>
      <c r="O108">
        <v>8697815384</v>
      </c>
      <c r="P108" s="3" t="s">
        <v>100</v>
      </c>
      <c r="Q108">
        <v>2017</v>
      </c>
    </row>
    <row r="109" spans="1:17" x14ac:dyDescent="0.3">
      <c r="A109">
        <v>1857</v>
      </c>
      <c r="B109" t="s">
        <v>32</v>
      </c>
      <c r="C109" t="s">
        <v>65</v>
      </c>
      <c r="D109">
        <v>27</v>
      </c>
      <c r="E109" t="s">
        <v>41</v>
      </c>
      <c r="F109" t="s">
        <v>147</v>
      </c>
      <c r="G109" t="s">
        <v>27</v>
      </c>
      <c r="H109" t="s">
        <v>22</v>
      </c>
      <c r="I109" t="s">
        <v>62</v>
      </c>
      <c r="J109">
        <v>312578</v>
      </c>
      <c r="K109">
        <v>10</v>
      </c>
      <c r="L109" s="3">
        <v>43098</v>
      </c>
      <c r="M109">
        <v>1.48</v>
      </c>
      <c r="N109" t="s">
        <v>178</v>
      </c>
      <c r="O109">
        <v>7707649633</v>
      </c>
      <c r="P109" s="3" t="s">
        <v>100</v>
      </c>
      <c r="Q109">
        <v>2017</v>
      </c>
    </row>
    <row r="110" spans="1:17" x14ac:dyDescent="0.3">
      <c r="A110">
        <v>1181</v>
      </c>
      <c r="B110" t="s">
        <v>26</v>
      </c>
      <c r="C110" t="s">
        <v>33</v>
      </c>
      <c r="D110">
        <v>42</v>
      </c>
      <c r="E110" t="s">
        <v>41</v>
      </c>
      <c r="F110" t="s">
        <v>147</v>
      </c>
      <c r="G110" t="s">
        <v>42</v>
      </c>
      <c r="H110" t="s">
        <v>28</v>
      </c>
      <c r="I110" t="s">
        <v>23</v>
      </c>
      <c r="J110">
        <v>353210</v>
      </c>
      <c r="K110">
        <v>4</v>
      </c>
      <c r="L110" s="3">
        <v>42438</v>
      </c>
      <c r="M110">
        <v>4.8600000000000003</v>
      </c>
      <c r="N110" t="s">
        <v>179</v>
      </c>
      <c r="O110">
        <v>8947987812</v>
      </c>
      <c r="P110" s="3" t="s">
        <v>25</v>
      </c>
      <c r="Q110">
        <v>2016</v>
      </c>
    </row>
    <row r="111" spans="1:17" x14ac:dyDescent="0.3">
      <c r="A111">
        <v>1480</v>
      </c>
      <c r="B111" t="s">
        <v>103</v>
      </c>
      <c r="C111" t="s">
        <v>33</v>
      </c>
      <c r="D111">
        <v>26</v>
      </c>
      <c r="E111" t="s">
        <v>19</v>
      </c>
      <c r="F111" t="s">
        <v>147</v>
      </c>
      <c r="G111" t="s">
        <v>55</v>
      </c>
      <c r="H111" t="s">
        <v>22</v>
      </c>
      <c r="I111" t="s">
        <v>60</v>
      </c>
      <c r="J111">
        <v>487216</v>
      </c>
      <c r="K111">
        <v>18</v>
      </c>
      <c r="L111" s="3">
        <v>42447</v>
      </c>
      <c r="M111">
        <v>2.37</v>
      </c>
      <c r="N111" t="s">
        <v>180</v>
      </c>
      <c r="O111">
        <v>9180455624</v>
      </c>
      <c r="P111" s="3" t="s">
        <v>25</v>
      </c>
      <c r="Q111">
        <v>2016</v>
      </c>
    </row>
    <row r="112" spans="1:17" x14ac:dyDescent="0.3">
      <c r="A112">
        <v>1095</v>
      </c>
      <c r="B112" t="s">
        <v>39</v>
      </c>
      <c r="C112" t="s">
        <v>45</v>
      </c>
      <c r="D112">
        <v>23</v>
      </c>
      <c r="E112" t="s">
        <v>19</v>
      </c>
      <c r="F112" t="s">
        <v>147</v>
      </c>
      <c r="G112" t="s">
        <v>34</v>
      </c>
      <c r="H112" t="s">
        <v>28</v>
      </c>
      <c r="I112" t="s">
        <v>23</v>
      </c>
      <c r="J112">
        <v>302582</v>
      </c>
      <c r="K112">
        <v>14</v>
      </c>
      <c r="L112" s="3">
        <v>42450</v>
      </c>
      <c r="M112">
        <v>4.37</v>
      </c>
      <c r="N112" t="s">
        <v>181</v>
      </c>
      <c r="O112">
        <v>9242035629</v>
      </c>
      <c r="P112" s="3" t="s">
        <v>25</v>
      </c>
      <c r="Q112">
        <v>2016</v>
      </c>
    </row>
    <row r="113" spans="1:17" x14ac:dyDescent="0.3">
      <c r="A113">
        <v>1521</v>
      </c>
      <c r="B113" t="s">
        <v>53</v>
      </c>
      <c r="C113" t="s">
        <v>33</v>
      </c>
      <c r="D113">
        <v>54</v>
      </c>
      <c r="E113" t="s">
        <v>41</v>
      </c>
      <c r="F113" t="s">
        <v>147</v>
      </c>
      <c r="G113" t="s">
        <v>42</v>
      </c>
      <c r="H113" t="s">
        <v>69</v>
      </c>
      <c r="I113" t="s">
        <v>36</v>
      </c>
      <c r="J113">
        <v>373704</v>
      </c>
      <c r="K113">
        <v>11</v>
      </c>
      <c r="L113" s="3">
        <v>42542</v>
      </c>
      <c r="M113">
        <v>4.41</v>
      </c>
      <c r="N113" t="s">
        <v>182</v>
      </c>
      <c r="O113">
        <v>7029790293</v>
      </c>
      <c r="P113" s="3" t="s">
        <v>90</v>
      </c>
      <c r="Q113">
        <v>2016</v>
      </c>
    </row>
    <row r="114" spans="1:17" x14ac:dyDescent="0.3">
      <c r="A114">
        <v>393</v>
      </c>
      <c r="B114" t="s">
        <v>44</v>
      </c>
      <c r="C114" t="s">
        <v>40</v>
      </c>
      <c r="D114">
        <v>51</v>
      </c>
      <c r="E114" t="s">
        <v>19</v>
      </c>
      <c r="F114" t="s">
        <v>147</v>
      </c>
      <c r="G114" t="s">
        <v>34</v>
      </c>
      <c r="H114" t="s">
        <v>28</v>
      </c>
      <c r="I114" t="s">
        <v>50</v>
      </c>
      <c r="J114">
        <v>406052</v>
      </c>
      <c r="K114">
        <v>11</v>
      </c>
      <c r="L114" s="3">
        <v>42558</v>
      </c>
      <c r="M114">
        <v>3.83</v>
      </c>
      <c r="N114" t="s">
        <v>183</v>
      </c>
      <c r="O114">
        <v>9281233491</v>
      </c>
      <c r="P114" s="3" t="s">
        <v>38</v>
      </c>
      <c r="Q114">
        <v>2016</v>
      </c>
    </row>
    <row r="115" spans="1:17" x14ac:dyDescent="0.3">
      <c r="A115">
        <v>161</v>
      </c>
      <c r="B115" t="s">
        <v>68</v>
      </c>
      <c r="C115" t="s">
        <v>92</v>
      </c>
      <c r="D115">
        <v>25</v>
      </c>
      <c r="E115" t="s">
        <v>41</v>
      </c>
      <c r="F115" t="s">
        <v>147</v>
      </c>
      <c r="G115" t="s">
        <v>42</v>
      </c>
      <c r="H115" t="s">
        <v>78</v>
      </c>
      <c r="I115" t="s">
        <v>36</v>
      </c>
      <c r="J115">
        <v>378283</v>
      </c>
      <c r="K115">
        <v>18</v>
      </c>
      <c r="L115" s="3">
        <v>42566</v>
      </c>
      <c r="M115">
        <v>1.01</v>
      </c>
      <c r="N115" t="s">
        <v>184</v>
      </c>
      <c r="O115">
        <v>7065384835</v>
      </c>
      <c r="P115" s="3" t="s">
        <v>38</v>
      </c>
      <c r="Q115">
        <v>2016</v>
      </c>
    </row>
    <row r="116" spans="1:17" x14ac:dyDescent="0.3">
      <c r="A116">
        <v>1743</v>
      </c>
      <c r="B116" t="s">
        <v>32</v>
      </c>
      <c r="C116" t="s">
        <v>49</v>
      </c>
      <c r="D116">
        <v>41</v>
      </c>
      <c r="E116" t="s">
        <v>41</v>
      </c>
      <c r="F116" t="s">
        <v>147</v>
      </c>
      <c r="G116" t="s">
        <v>34</v>
      </c>
      <c r="H116" t="s">
        <v>35</v>
      </c>
      <c r="I116" t="s">
        <v>23</v>
      </c>
      <c r="J116">
        <v>374727</v>
      </c>
      <c r="K116">
        <v>7</v>
      </c>
      <c r="L116" s="3">
        <v>42594</v>
      </c>
      <c r="M116">
        <v>2.69</v>
      </c>
      <c r="N116" t="s">
        <v>185</v>
      </c>
      <c r="O116">
        <v>9154965146</v>
      </c>
      <c r="P116" s="3" t="s">
        <v>47</v>
      </c>
      <c r="Q116">
        <v>2016</v>
      </c>
    </row>
    <row r="117" spans="1:17" x14ac:dyDescent="0.3">
      <c r="A117">
        <v>1571</v>
      </c>
      <c r="B117" t="s">
        <v>39</v>
      </c>
      <c r="C117" t="s">
        <v>54</v>
      </c>
      <c r="D117">
        <v>34</v>
      </c>
      <c r="E117" t="s">
        <v>19</v>
      </c>
      <c r="F117" t="s">
        <v>147</v>
      </c>
      <c r="G117" t="s">
        <v>34</v>
      </c>
      <c r="H117" t="s">
        <v>69</v>
      </c>
      <c r="I117" t="s">
        <v>36</v>
      </c>
      <c r="J117">
        <v>364773</v>
      </c>
      <c r="K117">
        <v>13</v>
      </c>
      <c r="L117" s="3">
        <v>42655</v>
      </c>
      <c r="M117">
        <v>1.59</v>
      </c>
      <c r="N117" t="s">
        <v>186</v>
      </c>
      <c r="O117">
        <v>7575550978</v>
      </c>
      <c r="P117" s="3" t="s">
        <v>75</v>
      </c>
      <c r="Q117">
        <v>2016</v>
      </c>
    </row>
    <row r="118" spans="1:17" x14ac:dyDescent="0.3">
      <c r="A118">
        <v>1562</v>
      </c>
      <c r="B118" t="s">
        <v>32</v>
      </c>
      <c r="C118" t="s">
        <v>65</v>
      </c>
      <c r="D118">
        <v>51</v>
      </c>
      <c r="E118" t="s">
        <v>19</v>
      </c>
      <c r="F118" t="s">
        <v>147</v>
      </c>
      <c r="G118" t="s">
        <v>21</v>
      </c>
      <c r="H118" t="s">
        <v>78</v>
      </c>
      <c r="I118" t="s">
        <v>23</v>
      </c>
      <c r="J118">
        <v>403999</v>
      </c>
      <c r="K118">
        <v>12</v>
      </c>
      <c r="L118" s="3">
        <v>42693</v>
      </c>
      <c r="M118">
        <v>3.97</v>
      </c>
      <c r="N118" t="s">
        <v>187</v>
      </c>
      <c r="O118">
        <v>9209154237</v>
      </c>
      <c r="P118" s="3" t="s">
        <v>57</v>
      </c>
      <c r="Q118">
        <v>2016</v>
      </c>
    </row>
    <row r="119" spans="1:17" x14ac:dyDescent="0.3">
      <c r="A119">
        <v>933</v>
      </c>
      <c r="B119" t="s">
        <v>103</v>
      </c>
      <c r="C119" t="s">
        <v>54</v>
      </c>
      <c r="D119">
        <v>22</v>
      </c>
      <c r="E119" t="s">
        <v>41</v>
      </c>
      <c r="F119" t="s">
        <v>147</v>
      </c>
      <c r="G119" t="s">
        <v>42</v>
      </c>
      <c r="H119" t="s">
        <v>35</v>
      </c>
      <c r="I119" t="s">
        <v>50</v>
      </c>
      <c r="J119">
        <v>394547</v>
      </c>
      <c r="K119">
        <v>0</v>
      </c>
      <c r="L119" s="3">
        <v>42086</v>
      </c>
      <c r="M119">
        <v>3.96</v>
      </c>
      <c r="N119" t="s">
        <v>188</v>
      </c>
      <c r="O119">
        <v>7602805867</v>
      </c>
      <c r="P119" s="3" t="s">
        <v>25</v>
      </c>
      <c r="Q119">
        <v>2015</v>
      </c>
    </row>
    <row r="120" spans="1:17" x14ac:dyDescent="0.3">
      <c r="A120">
        <v>1</v>
      </c>
      <c r="B120" t="s">
        <v>103</v>
      </c>
      <c r="C120" t="s">
        <v>45</v>
      </c>
      <c r="D120">
        <v>34</v>
      </c>
      <c r="E120" t="s">
        <v>19</v>
      </c>
      <c r="F120" t="s">
        <v>147</v>
      </c>
      <c r="G120" t="s">
        <v>21</v>
      </c>
      <c r="H120" t="s">
        <v>28</v>
      </c>
      <c r="I120" t="s">
        <v>62</v>
      </c>
      <c r="J120">
        <v>334626</v>
      </c>
      <c r="K120">
        <v>7</v>
      </c>
      <c r="L120" s="3">
        <v>42177</v>
      </c>
      <c r="M120">
        <v>1.26</v>
      </c>
      <c r="N120" t="s">
        <v>189</v>
      </c>
      <c r="O120">
        <v>7763996178</v>
      </c>
      <c r="P120" s="3" t="s">
        <v>90</v>
      </c>
      <c r="Q120">
        <v>2015</v>
      </c>
    </row>
    <row r="121" spans="1:17" x14ac:dyDescent="0.3">
      <c r="A121">
        <v>832</v>
      </c>
      <c r="B121" t="s">
        <v>48</v>
      </c>
      <c r="C121" t="s">
        <v>65</v>
      </c>
      <c r="D121">
        <v>26</v>
      </c>
      <c r="E121" t="s">
        <v>41</v>
      </c>
      <c r="F121" t="s">
        <v>147</v>
      </c>
      <c r="G121" t="s">
        <v>21</v>
      </c>
      <c r="H121" t="s">
        <v>28</v>
      </c>
      <c r="I121" t="s">
        <v>29</v>
      </c>
      <c r="J121">
        <v>440930</v>
      </c>
      <c r="K121">
        <v>2</v>
      </c>
      <c r="L121" s="3">
        <v>42234</v>
      </c>
      <c r="M121">
        <v>2.4</v>
      </c>
      <c r="N121" t="s">
        <v>190</v>
      </c>
      <c r="O121">
        <v>7549024437</v>
      </c>
      <c r="P121" s="3" t="s">
        <v>47</v>
      </c>
      <c r="Q121">
        <v>2015</v>
      </c>
    </row>
    <row r="122" spans="1:17" x14ac:dyDescent="0.3">
      <c r="A122">
        <v>228</v>
      </c>
      <c r="B122" t="s">
        <v>53</v>
      </c>
      <c r="C122" t="s">
        <v>65</v>
      </c>
      <c r="D122">
        <v>40</v>
      </c>
      <c r="E122" t="s">
        <v>19</v>
      </c>
      <c r="F122" t="s">
        <v>147</v>
      </c>
      <c r="G122" t="s">
        <v>21</v>
      </c>
      <c r="H122" t="s">
        <v>22</v>
      </c>
      <c r="I122" t="s">
        <v>23</v>
      </c>
      <c r="J122">
        <v>443812</v>
      </c>
      <c r="K122">
        <v>3</v>
      </c>
      <c r="L122" s="3">
        <v>42369</v>
      </c>
      <c r="M122">
        <v>4.67</v>
      </c>
      <c r="N122" t="s">
        <v>191</v>
      </c>
      <c r="O122">
        <v>7311234087</v>
      </c>
      <c r="P122" s="3" t="s">
        <v>100</v>
      </c>
      <c r="Q122">
        <v>2015</v>
      </c>
    </row>
    <row r="123" spans="1:17" x14ac:dyDescent="0.3">
      <c r="A123">
        <v>98</v>
      </c>
      <c r="B123" t="s">
        <v>32</v>
      </c>
      <c r="C123" t="s">
        <v>54</v>
      </c>
      <c r="D123">
        <v>36</v>
      </c>
      <c r="E123" t="s">
        <v>19</v>
      </c>
      <c r="F123" t="s">
        <v>192</v>
      </c>
      <c r="G123" t="s">
        <v>55</v>
      </c>
      <c r="H123" t="s">
        <v>69</v>
      </c>
      <c r="I123" t="s">
        <v>60</v>
      </c>
      <c r="J123">
        <v>383679</v>
      </c>
      <c r="K123">
        <v>18</v>
      </c>
      <c r="L123" s="3">
        <v>45408</v>
      </c>
      <c r="M123">
        <v>3.56</v>
      </c>
      <c r="N123" t="s">
        <v>193</v>
      </c>
      <c r="O123">
        <v>8867703928</v>
      </c>
      <c r="P123" s="3" t="s">
        <v>31</v>
      </c>
      <c r="Q123">
        <v>2024</v>
      </c>
    </row>
    <row r="124" spans="1:17" x14ac:dyDescent="0.3">
      <c r="A124">
        <v>63</v>
      </c>
      <c r="B124" t="s">
        <v>85</v>
      </c>
      <c r="C124" t="s">
        <v>72</v>
      </c>
      <c r="D124">
        <v>22</v>
      </c>
      <c r="E124" t="s">
        <v>19</v>
      </c>
      <c r="F124" t="s">
        <v>192</v>
      </c>
      <c r="G124" t="s">
        <v>55</v>
      </c>
      <c r="H124" t="s">
        <v>69</v>
      </c>
      <c r="I124" t="s">
        <v>60</v>
      </c>
      <c r="J124">
        <v>344849</v>
      </c>
      <c r="K124">
        <v>3</v>
      </c>
      <c r="L124" s="3">
        <v>45472</v>
      </c>
      <c r="M124">
        <v>2.81</v>
      </c>
      <c r="N124" t="s">
        <v>194</v>
      </c>
      <c r="O124">
        <v>9066236368</v>
      </c>
      <c r="P124" s="3" t="s">
        <v>90</v>
      </c>
      <c r="Q124">
        <v>2024</v>
      </c>
    </row>
    <row r="125" spans="1:17" x14ac:dyDescent="0.3">
      <c r="A125">
        <v>498</v>
      </c>
      <c r="B125" t="s">
        <v>53</v>
      </c>
      <c r="C125" t="s">
        <v>81</v>
      </c>
      <c r="D125">
        <v>39</v>
      </c>
      <c r="E125" t="s">
        <v>41</v>
      </c>
      <c r="F125" t="s">
        <v>192</v>
      </c>
      <c r="G125" t="s">
        <v>42</v>
      </c>
      <c r="H125" t="s">
        <v>78</v>
      </c>
      <c r="I125" t="s">
        <v>60</v>
      </c>
      <c r="J125">
        <v>339272</v>
      </c>
      <c r="K125">
        <v>13</v>
      </c>
      <c r="L125" s="3">
        <v>45521</v>
      </c>
      <c r="M125">
        <v>3.72</v>
      </c>
      <c r="N125" t="s">
        <v>195</v>
      </c>
      <c r="O125">
        <v>7716573271</v>
      </c>
      <c r="P125" s="3" t="s">
        <v>47</v>
      </c>
      <c r="Q125">
        <v>2024</v>
      </c>
    </row>
    <row r="126" spans="1:17" x14ac:dyDescent="0.3">
      <c r="A126">
        <v>277</v>
      </c>
      <c r="B126" t="s">
        <v>17</v>
      </c>
      <c r="C126" t="s">
        <v>54</v>
      </c>
      <c r="D126">
        <v>22</v>
      </c>
      <c r="E126" t="s">
        <v>19</v>
      </c>
      <c r="F126" t="s">
        <v>192</v>
      </c>
      <c r="G126" t="s">
        <v>34</v>
      </c>
      <c r="H126" t="s">
        <v>28</v>
      </c>
      <c r="I126" t="s">
        <v>23</v>
      </c>
      <c r="J126">
        <v>307709</v>
      </c>
      <c r="K126">
        <v>9</v>
      </c>
      <c r="L126" s="3">
        <v>45613</v>
      </c>
      <c r="M126">
        <v>2.2200000000000002</v>
      </c>
      <c r="N126" t="s">
        <v>196</v>
      </c>
      <c r="O126">
        <v>8800198793</v>
      </c>
      <c r="P126" s="3" t="s">
        <v>57</v>
      </c>
      <c r="Q126">
        <v>2024</v>
      </c>
    </row>
    <row r="127" spans="1:17" x14ac:dyDescent="0.3">
      <c r="A127">
        <v>1837</v>
      </c>
      <c r="B127" t="s">
        <v>103</v>
      </c>
      <c r="C127" t="s">
        <v>81</v>
      </c>
      <c r="D127">
        <v>33</v>
      </c>
      <c r="E127" t="s">
        <v>19</v>
      </c>
      <c r="F127" t="s">
        <v>192</v>
      </c>
      <c r="G127" t="s">
        <v>34</v>
      </c>
      <c r="H127" t="s">
        <v>55</v>
      </c>
      <c r="I127" t="s">
        <v>60</v>
      </c>
      <c r="J127">
        <v>406280</v>
      </c>
      <c r="K127">
        <v>15</v>
      </c>
      <c r="L127" s="3">
        <v>44992</v>
      </c>
      <c r="M127">
        <v>1.52</v>
      </c>
      <c r="N127" t="s">
        <v>197</v>
      </c>
      <c r="O127">
        <v>7208446499</v>
      </c>
      <c r="P127" s="3" t="s">
        <v>25</v>
      </c>
      <c r="Q127">
        <v>2023</v>
      </c>
    </row>
    <row r="128" spans="1:17" x14ac:dyDescent="0.3">
      <c r="A128">
        <v>1395</v>
      </c>
      <c r="B128" t="s">
        <v>26</v>
      </c>
      <c r="C128" t="s">
        <v>45</v>
      </c>
      <c r="D128">
        <v>49</v>
      </c>
      <c r="E128" t="s">
        <v>41</v>
      </c>
      <c r="F128" t="s">
        <v>192</v>
      </c>
      <c r="G128" t="s">
        <v>27</v>
      </c>
      <c r="H128" t="s">
        <v>78</v>
      </c>
      <c r="I128" t="s">
        <v>50</v>
      </c>
      <c r="J128">
        <v>349238</v>
      </c>
      <c r="K128">
        <v>15</v>
      </c>
      <c r="L128" s="3">
        <v>45053</v>
      </c>
      <c r="M128">
        <v>2</v>
      </c>
      <c r="N128" t="s">
        <v>198</v>
      </c>
      <c r="O128">
        <v>9533190919</v>
      </c>
      <c r="P128" s="3" t="s">
        <v>67</v>
      </c>
      <c r="Q128">
        <v>2023</v>
      </c>
    </row>
    <row r="129" spans="1:17" x14ac:dyDescent="0.3">
      <c r="A129">
        <v>1048</v>
      </c>
      <c r="B129" t="s">
        <v>39</v>
      </c>
      <c r="C129" t="s">
        <v>45</v>
      </c>
      <c r="D129">
        <v>35</v>
      </c>
      <c r="E129" t="s">
        <v>41</v>
      </c>
      <c r="F129" t="s">
        <v>192</v>
      </c>
      <c r="G129" t="s">
        <v>55</v>
      </c>
      <c r="H129" t="s">
        <v>78</v>
      </c>
      <c r="I129" t="s">
        <v>36</v>
      </c>
      <c r="J129">
        <v>461170</v>
      </c>
      <c r="K129">
        <v>17</v>
      </c>
      <c r="L129" s="3">
        <v>45243</v>
      </c>
      <c r="M129">
        <v>2.09</v>
      </c>
      <c r="N129" t="s">
        <v>199</v>
      </c>
      <c r="O129">
        <v>8934165497</v>
      </c>
      <c r="P129" s="3" t="s">
        <v>57</v>
      </c>
      <c r="Q129">
        <v>2023</v>
      </c>
    </row>
    <row r="130" spans="1:17" x14ac:dyDescent="0.3">
      <c r="A130">
        <v>526</v>
      </c>
      <c r="B130" t="s">
        <v>53</v>
      </c>
      <c r="C130" t="s">
        <v>45</v>
      </c>
      <c r="D130">
        <v>45</v>
      </c>
      <c r="E130" t="s">
        <v>19</v>
      </c>
      <c r="F130" t="s">
        <v>192</v>
      </c>
      <c r="G130" t="s">
        <v>34</v>
      </c>
      <c r="H130" t="s">
        <v>78</v>
      </c>
      <c r="I130" t="s">
        <v>62</v>
      </c>
      <c r="J130">
        <v>452507</v>
      </c>
      <c r="K130">
        <v>20</v>
      </c>
      <c r="L130" s="3">
        <v>44575</v>
      </c>
      <c r="M130">
        <v>3.45</v>
      </c>
      <c r="N130" t="s">
        <v>200</v>
      </c>
      <c r="O130">
        <v>7416589396</v>
      </c>
      <c r="P130" s="3" t="s">
        <v>83</v>
      </c>
      <c r="Q130">
        <v>2022</v>
      </c>
    </row>
    <row r="131" spans="1:17" x14ac:dyDescent="0.3">
      <c r="A131">
        <v>1029</v>
      </c>
      <c r="B131" t="s">
        <v>103</v>
      </c>
      <c r="C131" t="s">
        <v>92</v>
      </c>
      <c r="D131">
        <v>42</v>
      </c>
      <c r="E131" t="s">
        <v>41</v>
      </c>
      <c r="F131" t="s">
        <v>192</v>
      </c>
      <c r="G131" t="s">
        <v>42</v>
      </c>
      <c r="H131" t="s">
        <v>69</v>
      </c>
      <c r="I131" t="s">
        <v>60</v>
      </c>
      <c r="J131">
        <v>354246</v>
      </c>
      <c r="K131">
        <v>1</v>
      </c>
      <c r="L131" s="3">
        <v>44657</v>
      </c>
      <c r="M131">
        <v>4.68</v>
      </c>
      <c r="N131" t="s">
        <v>201</v>
      </c>
      <c r="O131">
        <v>8119625796</v>
      </c>
      <c r="P131" s="3" t="s">
        <v>31</v>
      </c>
      <c r="Q131">
        <v>2022</v>
      </c>
    </row>
    <row r="132" spans="1:17" x14ac:dyDescent="0.3">
      <c r="A132">
        <v>1610</v>
      </c>
      <c r="B132" t="s">
        <v>48</v>
      </c>
      <c r="C132" t="s">
        <v>72</v>
      </c>
      <c r="D132">
        <v>50</v>
      </c>
      <c r="E132" t="s">
        <v>19</v>
      </c>
      <c r="F132" t="s">
        <v>192</v>
      </c>
      <c r="G132" t="s">
        <v>55</v>
      </c>
      <c r="H132" t="s">
        <v>22</v>
      </c>
      <c r="I132" t="s">
        <v>36</v>
      </c>
      <c r="J132">
        <v>432801</v>
      </c>
      <c r="K132">
        <v>12</v>
      </c>
      <c r="L132" s="3">
        <v>44750</v>
      </c>
      <c r="M132">
        <v>3.34</v>
      </c>
      <c r="N132" t="s">
        <v>202</v>
      </c>
      <c r="O132">
        <v>9206857681</v>
      </c>
      <c r="P132" s="3" t="s">
        <v>38</v>
      </c>
      <c r="Q132">
        <v>2022</v>
      </c>
    </row>
    <row r="133" spans="1:17" x14ac:dyDescent="0.3">
      <c r="A133">
        <v>1220</v>
      </c>
      <c r="B133" t="s">
        <v>48</v>
      </c>
      <c r="C133" t="s">
        <v>54</v>
      </c>
      <c r="D133">
        <v>57</v>
      </c>
      <c r="E133" t="s">
        <v>19</v>
      </c>
      <c r="F133" t="s">
        <v>192</v>
      </c>
      <c r="G133" t="s">
        <v>34</v>
      </c>
      <c r="H133" t="s">
        <v>78</v>
      </c>
      <c r="I133" t="s">
        <v>29</v>
      </c>
      <c r="J133">
        <v>498015</v>
      </c>
      <c r="K133">
        <v>11</v>
      </c>
      <c r="L133" s="3">
        <v>44760</v>
      </c>
      <c r="M133">
        <v>2.19</v>
      </c>
      <c r="N133" t="s">
        <v>203</v>
      </c>
      <c r="O133">
        <v>7844618630</v>
      </c>
      <c r="P133" s="3" t="s">
        <v>38</v>
      </c>
      <c r="Q133">
        <v>2022</v>
      </c>
    </row>
    <row r="134" spans="1:17" x14ac:dyDescent="0.3">
      <c r="A134">
        <v>1998</v>
      </c>
      <c r="B134" t="s">
        <v>103</v>
      </c>
      <c r="C134" t="s">
        <v>33</v>
      </c>
      <c r="D134">
        <v>45</v>
      </c>
      <c r="E134" t="s">
        <v>19</v>
      </c>
      <c r="F134" t="s">
        <v>192</v>
      </c>
      <c r="G134" t="s">
        <v>34</v>
      </c>
      <c r="H134" t="s">
        <v>28</v>
      </c>
      <c r="I134" t="s">
        <v>29</v>
      </c>
      <c r="J134">
        <v>448922</v>
      </c>
      <c r="K134">
        <v>18</v>
      </c>
      <c r="L134" s="3">
        <v>44768</v>
      </c>
      <c r="M134">
        <v>2.84</v>
      </c>
      <c r="N134" t="s">
        <v>204</v>
      </c>
      <c r="O134">
        <v>7973780476</v>
      </c>
      <c r="P134" s="3" t="s">
        <v>38</v>
      </c>
      <c r="Q134">
        <v>2022</v>
      </c>
    </row>
    <row r="135" spans="1:17" x14ac:dyDescent="0.3">
      <c r="A135">
        <v>363</v>
      </c>
      <c r="B135" t="s">
        <v>26</v>
      </c>
      <c r="C135" t="s">
        <v>18</v>
      </c>
      <c r="D135">
        <v>53</v>
      </c>
      <c r="E135" t="s">
        <v>19</v>
      </c>
      <c r="F135" t="s">
        <v>192</v>
      </c>
      <c r="G135" t="s">
        <v>55</v>
      </c>
      <c r="H135" t="s">
        <v>35</v>
      </c>
      <c r="I135" t="s">
        <v>36</v>
      </c>
      <c r="J135">
        <v>370258</v>
      </c>
      <c r="K135">
        <v>8</v>
      </c>
      <c r="L135" s="3">
        <v>44888</v>
      </c>
      <c r="M135">
        <v>4.75</v>
      </c>
      <c r="N135" t="s">
        <v>205</v>
      </c>
      <c r="O135">
        <v>8091155921</v>
      </c>
      <c r="P135" s="3" t="s">
        <v>57</v>
      </c>
      <c r="Q135">
        <v>2022</v>
      </c>
    </row>
    <row r="136" spans="1:17" x14ac:dyDescent="0.3">
      <c r="A136">
        <v>1360</v>
      </c>
      <c r="B136" t="s">
        <v>17</v>
      </c>
      <c r="C136" t="s">
        <v>72</v>
      </c>
      <c r="D136">
        <v>39</v>
      </c>
      <c r="E136" t="s">
        <v>19</v>
      </c>
      <c r="F136" t="s">
        <v>192</v>
      </c>
      <c r="G136" t="s">
        <v>42</v>
      </c>
      <c r="H136" t="s">
        <v>78</v>
      </c>
      <c r="I136" t="s">
        <v>29</v>
      </c>
      <c r="J136">
        <v>450425</v>
      </c>
      <c r="K136">
        <v>6</v>
      </c>
      <c r="L136" s="3">
        <v>44892</v>
      </c>
      <c r="M136">
        <v>2</v>
      </c>
      <c r="N136" t="s">
        <v>206</v>
      </c>
      <c r="O136">
        <v>9429411641</v>
      </c>
      <c r="P136" s="3" t="s">
        <v>57</v>
      </c>
      <c r="Q136">
        <v>2022</v>
      </c>
    </row>
    <row r="137" spans="1:17" x14ac:dyDescent="0.3">
      <c r="A137">
        <v>899</v>
      </c>
      <c r="B137" t="s">
        <v>26</v>
      </c>
      <c r="C137" t="s">
        <v>92</v>
      </c>
      <c r="D137">
        <v>33</v>
      </c>
      <c r="E137" t="s">
        <v>41</v>
      </c>
      <c r="F137" t="s">
        <v>192</v>
      </c>
      <c r="G137" t="s">
        <v>21</v>
      </c>
      <c r="H137" t="s">
        <v>69</v>
      </c>
      <c r="I137" t="s">
        <v>50</v>
      </c>
      <c r="J137">
        <v>426382</v>
      </c>
      <c r="K137">
        <v>9</v>
      </c>
      <c r="L137" s="3">
        <v>44290</v>
      </c>
      <c r="M137">
        <v>4.0199999999999996</v>
      </c>
      <c r="N137" t="s">
        <v>207</v>
      </c>
      <c r="O137">
        <v>8677357809</v>
      </c>
      <c r="P137" s="3" t="s">
        <v>31</v>
      </c>
      <c r="Q137">
        <v>2021</v>
      </c>
    </row>
    <row r="138" spans="1:17" x14ac:dyDescent="0.3">
      <c r="A138">
        <v>1514</v>
      </c>
      <c r="B138" t="s">
        <v>48</v>
      </c>
      <c r="C138" t="s">
        <v>40</v>
      </c>
      <c r="D138">
        <v>24</v>
      </c>
      <c r="E138" t="s">
        <v>41</v>
      </c>
      <c r="F138" t="s">
        <v>192</v>
      </c>
      <c r="G138" t="s">
        <v>21</v>
      </c>
      <c r="H138" t="s">
        <v>28</v>
      </c>
      <c r="I138" t="s">
        <v>23</v>
      </c>
      <c r="J138">
        <v>499563</v>
      </c>
      <c r="K138">
        <v>3</v>
      </c>
      <c r="L138" s="3">
        <v>44442</v>
      </c>
      <c r="M138">
        <v>2.11</v>
      </c>
      <c r="N138" t="s">
        <v>208</v>
      </c>
      <c r="O138">
        <v>7125331294</v>
      </c>
      <c r="P138" s="3" t="s">
        <v>52</v>
      </c>
      <c r="Q138">
        <v>2021</v>
      </c>
    </row>
    <row r="139" spans="1:17" x14ac:dyDescent="0.3">
      <c r="A139">
        <v>1195</v>
      </c>
      <c r="B139" t="s">
        <v>26</v>
      </c>
      <c r="C139" t="s">
        <v>33</v>
      </c>
      <c r="D139">
        <v>47</v>
      </c>
      <c r="E139" t="s">
        <v>41</v>
      </c>
      <c r="F139" t="s">
        <v>192</v>
      </c>
      <c r="G139" t="s">
        <v>21</v>
      </c>
      <c r="H139" t="s">
        <v>35</v>
      </c>
      <c r="I139" t="s">
        <v>29</v>
      </c>
      <c r="J139">
        <v>444074</v>
      </c>
      <c r="K139">
        <v>4</v>
      </c>
      <c r="L139" s="3">
        <v>44090</v>
      </c>
      <c r="M139">
        <v>3.65</v>
      </c>
      <c r="N139" t="s">
        <v>209</v>
      </c>
      <c r="O139">
        <v>7669686383</v>
      </c>
      <c r="P139" s="3" t="s">
        <v>52</v>
      </c>
      <c r="Q139">
        <v>2020</v>
      </c>
    </row>
    <row r="140" spans="1:17" x14ac:dyDescent="0.3">
      <c r="A140">
        <v>440</v>
      </c>
      <c r="B140" t="s">
        <v>32</v>
      </c>
      <c r="C140" t="s">
        <v>18</v>
      </c>
      <c r="D140">
        <v>50</v>
      </c>
      <c r="E140" t="s">
        <v>19</v>
      </c>
      <c r="F140" t="s">
        <v>192</v>
      </c>
      <c r="G140" t="s">
        <v>42</v>
      </c>
      <c r="H140" t="s">
        <v>78</v>
      </c>
      <c r="I140" t="s">
        <v>62</v>
      </c>
      <c r="J140">
        <v>435339</v>
      </c>
      <c r="K140">
        <v>0</v>
      </c>
      <c r="L140" s="3">
        <v>43593</v>
      </c>
      <c r="M140">
        <v>1.73</v>
      </c>
      <c r="N140" t="s">
        <v>210</v>
      </c>
      <c r="O140">
        <v>7974181191</v>
      </c>
      <c r="P140" s="3" t="s">
        <v>67</v>
      </c>
      <c r="Q140">
        <v>2019</v>
      </c>
    </row>
    <row r="141" spans="1:17" x14ac:dyDescent="0.3">
      <c r="A141">
        <v>980</v>
      </c>
      <c r="B141" t="s">
        <v>48</v>
      </c>
      <c r="C141" t="s">
        <v>18</v>
      </c>
      <c r="D141">
        <v>35</v>
      </c>
      <c r="E141" t="s">
        <v>19</v>
      </c>
      <c r="F141" t="s">
        <v>192</v>
      </c>
      <c r="G141" t="s">
        <v>55</v>
      </c>
      <c r="H141" t="s">
        <v>35</v>
      </c>
      <c r="I141" t="s">
        <v>62</v>
      </c>
      <c r="J141">
        <v>434389</v>
      </c>
      <c r="K141">
        <v>13</v>
      </c>
      <c r="L141" s="3">
        <v>43779</v>
      </c>
      <c r="M141">
        <v>3.81</v>
      </c>
      <c r="N141" t="s">
        <v>211</v>
      </c>
      <c r="O141">
        <v>8189373329</v>
      </c>
      <c r="P141" s="3" t="s">
        <v>57</v>
      </c>
      <c r="Q141">
        <v>2019</v>
      </c>
    </row>
    <row r="142" spans="1:17" x14ac:dyDescent="0.3">
      <c r="A142">
        <v>612</v>
      </c>
      <c r="B142" t="s">
        <v>44</v>
      </c>
      <c r="C142" t="s">
        <v>92</v>
      </c>
      <c r="D142">
        <v>54</v>
      </c>
      <c r="E142" t="s">
        <v>41</v>
      </c>
      <c r="F142" t="s">
        <v>192</v>
      </c>
      <c r="G142" t="s">
        <v>42</v>
      </c>
      <c r="H142" t="s">
        <v>78</v>
      </c>
      <c r="I142" t="s">
        <v>23</v>
      </c>
      <c r="J142">
        <v>320703</v>
      </c>
      <c r="K142">
        <v>15</v>
      </c>
      <c r="L142" s="3">
        <v>43117</v>
      </c>
      <c r="M142">
        <v>4.4800000000000004</v>
      </c>
      <c r="N142" t="s">
        <v>212</v>
      </c>
      <c r="O142">
        <v>8811822315</v>
      </c>
      <c r="P142" s="3" t="s">
        <v>83</v>
      </c>
      <c r="Q142">
        <v>2018</v>
      </c>
    </row>
    <row r="143" spans="1:17" x14ac:dyDescent="0.3">
      <c r="A143">
        <v>1705</v>
      </c>
      <c r="B143" t="s">
        <v>85</v>
      </c>
      <c r="C143" t="s">
        <v>65</v>
      </c>
      <c r="D143">
        <v>22</v>
      </c>
      <c r="E143" t="s">
        <v>41</v>
      </c>
      <c r="F143" t="s">
        <v>192</v>
      </c>
      <c r="G143" t="s">
        <v>27</v>
      </c>
      <c r="H143" t="s">
        <v>22</v>
      </c>
      <c r="I143" t="s">
        <v>23</v>
      </c>
      <c r="J143">
        <v>320869</v>
      </c>
      <c r="K143">
        <v>4</v>
      </c>
      <c r="L143" s="3">
        <v>43206</v>
      </c>
      <c r="M143">
        <v>2.74</v>
      </c>
      <c r="N143" t="s">
        <v>213</v>
      </c>
      <c r="O143">
        <v>8783412520</v>
      </c>
      <c r="P143" s="3" t="s">
        <v>31</v>
      </c>
      <c r="Q143">
        <v>2018</v>
      </c>
    </row>
    <row r="144" spans="1:17" x14ac:dyDescent="0.3">
      <c r="A144">
        <v>322</v>
      </c>
      <c r="B144" t="s">
        <v>17</v>
      </c>
      <c r="C144" t="s">
        <v>18</v>
      </c>
      <c r="D144">
        <v>30</v>
      </c>
      <c r="E144" t="s">
        <v>41</v>
      </c>
      <c r="F144" t="s">
        <v>192</v>
      </c>
      <c r="G144" t="s">
        <v>42</v>
      </c>
      <c r="H144" t="s">
        <v>55</v>
      </c>
      <c r="I144" t="s">
        <v>50</v>
      </c>
      <c r="J144">
        <v>423419</v>
      </c>
      <c r="K144">
        <v>10</v>
      </c>
      <c r="L144" s="3">
        <v>43283</v>
      </c>
      <c r="M144">
        <v>3.79</v>
      </c>
      <c r="N144" t="s">
        <v>214</v>
      </c>
      <c r="O144">
        <v>7088555314</v>
      </c>
      <c r="P144" s="3" t="s">
        <v>38</v>
      </c>
      <c r="Q144">
        <v>2018</v>
      </c>
    </row>
    <row r="145" spans="1:17" x14ac:dyDescent="0.3">
      <c r="A145">
        <v>1956</v>
      </c>
      <c r="B145" t="s">
        <v>85</v>
      </c>
      <c r="C145" t="s">
        <v>18</v>
      </c>
      <c r="D145">
        <v>46</v>
      </c>
      <c r="E145" t="s">
        <v>19</v>
      </c>
      <c r="F145" t="s">
        <v>192</v>
      </c>
      <c r="G145" t="s">
        <v>42</v>
      </c>
      <c r="H145" t="s">
        <v>76</v>
      </c>
      <c r="I145" t="s">
        <v>23</v>
      </c>
      <c r="J145">
        <v>383557</v>
      </c>
      <c r="K145">
        <v>11</v>
      </c>
      <c r="L145" s="3">
        <v>43289</v>
      </c>
      <c r="M145">
        <v>3.56</v>
      </c>
      <c r="N145" t="s">
        <v>215</v>
      </c>
      <c r="O145">
        <v>7820482058</v>
      </c>
      <c r="P145" s="3" t="s">
        <v>38</v>
      </c>
      <c r="Q145">
        <v>2018</v>
      </c>
    </row>
    <row r="146" spans="1:17" x14ac:dyDescent="0.3">
      <c r="A146">
        <v>1136</v>
      </c>
      <c r="B146" t="s">
        <v>32</v>
      </c>
      <c r="C146" t="s">
        <v>33</v>
      </c>
      <c r="D146">
        <v>52</v>
      </c>
      <c r="E146" t="s">
        <v>19</v>
      </c>
      <c r="F146" t="s">
        <v>192</v>
      </c>
      <c r="G146" t="s">
        <v>55</v>
      </c>
      <c r="H146" t="s">
        <v>22</v>
      </c>
      <c r="I146" t="s">
        <v>62</v>
      </c>
      <c r="J146">
        <v>469931</v>
      </c>
      <c r="K146">
        <v>2</v>
      </c>
      <c r="L146" s="3">
        <v>43329</v>
      </c>
      <c r="M146">
        <v>2.4700000000000002</v>
      </c>
      <c r="N146" t="s">
        <v>216</v>
      </c>
      <c r="O146">
        <v>8489536359</v>
      </c>
      <c r="P146" s="3" t="s">
        <v>47</v>
      </c>
      <c r="Q146">
        <v>2018</v>
      </c>
    </row>
    <row r="147" spans="1:17" x14ac:dyDescent="0.3">
      <c r="A147">
        <v>465</v>
      </c>
      <c r="B147" t="s">
        <v>39</v>
      </c>
      <c r="C147" t="s">
        <v>45</v>
      </c>
      <c r="D147">
        <v>60</v>
      </c>
      <c r="E147" t="s">
        <v>41</v>
      </c>
      <c r="F147" t="s">
        <v>192</v>
      </c>
      <c r="G147" t="s">
        <v>34</v>
      </c>
      <c r="H147" t="s">
        <v>69</v>
      </c>
      <c r="I147" t="s">
        <v>23</v>
      </c>
      <c r="J147">
        <v>409688</v>
      </c>
      <c r="K147">
        <v>13</v>
      </c>
      <c r="L147" s="3">
        <v>42775</v>
      </c>
      <c r="M147">
        <v>2.81</v>
      </c>
      <c r="N147" t="s">
        <v>217</v>
      </c>
      <c r="O147">
        <v>9210983171</v>
      </c>
      <c r="P147" s="3" t="s">
        <v>59</v>
      </c>
      <c r="Q147">
        <v>2017</v>
      </c>
    </row>
    <row r="148" spans="1:17" x14ac:dyDescent="0.3">
      <c r="A148">
        <v>854</v>
      </c>
      <c r="B148" t="s">
        <v>44</v>
      </c>
      <c r="C148" t="s">
        <v>92</v>
      </c>
      <c r="D148">
        <v>31</v>
      </c>
      <c r="E148" t="s">
        <v>19</v>
      </c>
      <c r="F148" t="s">
        <v>192</v>
      </c>
      <c r="G148" t="s">
        <v>27</v>
      </c>
      <c r="H148" t="s">
        <v>22</v>
      </c>
      <c r="I148" t="s">
        <v>62</v>
      </c>
      <c r="J148">
        <v>379369</v>
      </c>
      <c r="K148">
        <v>10</v>
      </c>
      <c r="L148" s="3">
        <v>42868</v>
      </c>
      <c r="M148">
        <v>1.38</v>
      </c>
      <c r="N148" t="s">
        <v>218</v>
      </c>
      <c r="O148">
        <v>8185728421</v>
      </c>
      <c r="P148" s="3" t="s">
        <v>67</v>
      </c>
      <c r="Q148">
        <v>2017</v>
      </c>
    </row>
    <row r="149" spans="1:17" x14ac:dyDescent="0.3">
      <c r="A149">
        <v>1877</v>
      </c>
      <c r="B149" t="s">
        <v>48</v>
      </c>
      <c r="C149" t="s">
        <v>54</v>
      </c>
      <c r="D149">
        <v>26</v>
      </c>
      <c r="E149" t="s">
        <v>19</v>
      </c>
      <c r="F149" t="s">
        <v>192</v>
      </c>
      <c r="G149" t="s">
        <v>34</v>
      </c>
      <c r="H149" t="s">
        <v>35</v>
      </c>
      <c r="I149" t="s">
        <v>23</v>
      </c>
      <c r="J149">
        <v>308989</v>
      </c>
      <c r="K149">
        <v>1</v>
      </c>
      <c r="L149" s="3">
        <v>42922</v>
      </c>
      <c r="M149">
        <v>2.25</v>
      </c>
      <c r="N149" t="s">
        <v>219</v>
      </c>
      <c r="O149">
        <v>7487342828</v>
      </c>
      <c r="P149" s="3" t="s">
        <v>38</v>
      </c>
      <c r="Q149">
        <v>2017</v>
      </c>
    </row>
    <row r="150" spans="1:17" x14ac:dyDescent="0.3">
      <c r="A150">
        <v>1781</v>
      </c>
      <c r="B150" t="s">
        <v>26</v>
      </c>
      <c r="C150" t="s">
        <v>18</v>
      </c>
      <c r="D150">
        <v>40</v>
      </c>
      <c r="E150" t="s">
        <v>19</v>
      </c>
      <c r="F150" t="s">
        <v>192</v>
      </c>
      <c r="G150" t="s">
        <v>55</v>
      </c>
      <c r="H150" t="s">
        <v>22</v>
      </c>
      <c r="I150" t="s">
        <v>62</v>
      </c>
      <c r="J150">
        <v>359035</v>
      </c>
      <c r="K150">
        <v>17</v>
      </c>
      <c r="L150" s="3">
        <v>42371</v>
      </c>
      <c r="M150">
        <v>4.51</v>
      </c>
      <c r="N150" t="s">
        <v>220</v>
      </c>
      <c r="O150">
        <v>9523096128</v>
      </c>
      <c r="P150" s="3" t="s">
        <v>83</v>
      </c>
      <c r="Q150">
        <v>2016</v>
      </c>
    </row>
    <row r="151" spans="1:17" x14ac:dyDescent="0.3">
      <c r="A151">
        <v>1838</v>
      </c>
      <c r="B151" t="s">
        <v>32</v>
      </c>
      <c r="C151" t="s">
        <v>54</v>
      </c>
      <c r="D151">
        <v>30</v>
      </c>
      <c r="E151" t="s">
        <v>19</v>
      </c>
      <c r="F151" t="s">
        <v>192</v>
      </c>
      <c r="G151" t="s">
        <v>55</v>
      </c>
      <c r="H151" t="s">
        <v>55</v>
      </c>
      <c r="I151" t="s">
        <v>50</v>
      </c>
      <c r="J151">
        <v>498690</v>
      </c>
      <c r="K151">
        <v>16</v>
      </c>
      <c r="L151" s="3">
        <v>42499</v>
      </c>
      <c r="M151">
        <v>2.12</v>
      </c>
      <c r="N151" t="s">
        <v>221</v>
      </c>
      <c r="O151">
        <v>9791767279</v>
      </c>
      <c r="P151" s="3" t="s">
        <v>67</v>
      </c>
      <c r="Q151">
        <v>2016</v>
      </c>
    </row>
    <row r="152" spans="1:17" x14ac:dyDescent="0.3">
      <c r="A152">
        <v>252</v>
      </c>
      <c r="B152" t="s">
        <v>26</v>
      </c>
      <c r="C152" t="s">
        <v>81</v>
      </c>
      <c r="D152">
        <v>25</v>
      </c>
      <c r="E152" t="s">
        <v>41</v>
      </c>
      <c r="F152" t="s">
        <v>192</v>
      </c>
      <c r="G152" t="s">
        <v>27</v>
      </c>
      <c r="H152" t="s">
        <v>35</v>
      </c>
      <c r="I152" t="s">
        <v>29</v>
      </c>
      <c r="J152">
        <v>376671</v>
      </c>
      <c r="K152">
        <v>4</v>
      </c>
      <c r="L152" s="3">
        <v>42540</v>
      </c>
      <c r="M152">
        <v>2.79</v>
      </c>
      <c r="N152" t="s">
        <v>222</v>
      </c>
      <c r="O152">
        <v>8352513504</v>
      </c>
      <c r="P152" s="3" t="s">
        <v>90</v>
      </c>
      <c r="Q152">
        <v>2016</v>
      </c>
    </row>
    <row r="153" spans="1:17" x14ac:dyDescent="0.3">
      <c r="A153">
        <v>70</v>
      </c>
      <c r="B153" t="s">
        <v>85</v>
      </c>
      <c r="C153" t="s">
        <v>49</v>
      </c>
      <c r="D153">
        <v>27</v>
      </c>
      <c r="E153" t="s">
        <v>41</v>
      </c>
      <c r="F153" t="s">
        <v>192</v>
      </c>
      <c r="G153" t="s">
        <v>27</v>
      </c>
      <c r="H153" t="s">
        <v>22</v>
      </c>
      <c r="I153" t="s">
        <v>23</v>
      </c>
      <c r="J153">
        <v>404952</v>
      </c>
      <c r="K153">
        <v>8</v>
      </c>
      <c r="L153" s="3">
        <v>42579</v>
      </c>
      <c r="M153">
        <v>3.99</v>
      </c>
      <c r="N153" t="s">
        <v>223</v>
      </c>
      <c r="O153">
        <v>9684091303</v>
      </c>
      <c r="P153" s="3" t="s">
        <v>38</v>
      </c>
      <c r="Q153">
        <v>2016</v>
      </c>
    </row>
    <row r="154" spans="1:17" x14ac:dyDescent="0.3">
      <c r="A154">
        <v>1674</v>
      </c>
      <c r="B154" t="s">
        <v>26</v>
      </c>
      <c r="C154" t="s">
        <v>92</v>
      </c>
      <c r="D154">
        <v>56</v>
      </c>
      <c r="E154" t="s">
        <v>41</v>
      </c>
      <c r="F154" t="s">
        <v>192</v>
      </c>
      <c r="G154" t="s">
        <v>34</v>
      </c>
      <c r="H154" t="s">
        <v>35</v>
      </c>
      <c r="I154" t="s">
        <v>60</v>
      </c>
      <c r="J154">
        <v>347603</v>
      </c>
      <c r="K154">
        <v>19</v>
      </c>
      <c r="L154" s="3">
        <v>42708</v>
      </c>
      <c r="M154">
        <v>1.39</v>
      </c>
      <c r="N154" t="s">
        <v>224</v>
      </c>
      <c r="O154">
        <v>9194212455</v>
      </c>
      <c r="P154" s="3" t="s">
        <v>100</v>
      </c>
      <c r="Q154">
        <v>2016</v>
      </c>
    </row>
    <row r="155" spans="1:17" x14ac:dyDescent="0.3">
      <c r="A155">
        <v>1237</v>
      </c>
      <c r="B155" t="s">
        <v>85</v>
      </c>
      <c r="C155" t="s">
        <v>72</v>
      </c>
      <c r="D155">
        <v>33</v>
      </c>
      <c r="E155" t="s">
        <v>41</v>
      </c>
      <c r="F155" t="s">
        <v>192</v>
      </c>
      <c r="G155" t="s">
        <v>27</v>
      </c>
      <c r="H155" t="s">
        <v>22</v>
      </c>
      <c r="I155" t="s">
        <v>60</v>
      </c>
      <c r="J155">
        <v>466094</v>
      </c>
      <c r="K155">
        <v>18</v>
      </c>
      <c r="L155" s="3">
        <v>42065</v>
      </c>
      <c r="M155">
        <v>1.45</v>
      </c>
      <c r="N155" t="s">
        <v>225</v>
      </c>
      <c r="O155">
        <v>8517567709</v>
      </c>
      <c r="P155" s="3" t="s">
        <v>25</v>
      </c>
      <c r="Q155">
        <v>2015</v>
      </c>
    </row>
    <row r="156" spans="1:17" x14ac:dyDescent="0.3">
      <c r="A156">
        <v>1765</v>
      </c>
      <c r="B156" t="s">
        <v>32</v>
      </c>
      <c r="C156" t="s">
        <v>45</v>
      </c>
      <c r="D156">
        <v>41</v>
      </c>
      <c r="E156" t="s">
        <v>41</v>
      </c>
      <c r="F156" t="s">
        <v>192</v>
      </c>
      <c r="G156" t="s">
        <v>21</v>
      </c>
      <c r="H156" t="s">
        <v>22</v>
      </c>
      <c r="I156" t="s">
        <v>50</v>
      </c>
      <c r="J156">
        <v>496737</v>
      </c>
      <c r="K156">
        <v>4</v>
      </c>
      <c r="L156" s="3">
        <v>42089</v>
      </c>
      <c r="M156">
        <v>3.84</v>
      </c>
      <c r="N156" t="s">
        <v>226</v>
      </c>
      <c r="O156">
        <v>8336767560</v>
      </c>
      <c r="P156" s="3" t="s">
        <v>25</v>
      </c>
      <c r="Q156">
        <v>2015</v>
      </c>
    </row>
    <row r="157" spans="1:17" x14ac:dyDescent="0.3">
      <c r="A157">
        <v>1000</v>
      </c>
      <c r="B157" t="s">
        <v>53</v>
      </c>
      <c r="C157" t="s">
        <v>92</v>
      </c>
      <c r="D157">
        <v>38</v>
      </c>
      <c r="E157" t="s">
        <v>19</v>
      </c>
      <c r="F157" t="s">
        <v>192</v>
      </c>
      <c r="G157" t="s">
        <v>34</v>
      </c>
      <c r="H157" t="s">
        <v>28</v>
      </c>
      <c r="I157" t="s">
        <v>62</v>
      </c>
      <c r="J157">
        <v>445249</v>
      </c>
      <c r="K157">
        <v>14</v>
      </c>
      <c r="L157" s="3">
        <v>42161</v>
      </c>
      <c r="M157">
        <v>2.71</v>
      </c>
      <c r="N157" t="s">
        <v>227</v>
      </c>
      <c r="O157">
        <v>9222041508</v>
      </c>
      <c r="P157" s="3" t="s">
        <v>90</v>
      </c>
      <c r="Q157">
        <v>2015</v>
      </c>
    </row>
    <row r="158" spans="1:17" x14ac:dyDescent="0.3">
      <c r="A158">
        <v>1280</v>
      </c>
      <c r="B158" t="s">
        <v>44</v>
      </c>
      <c r="C158" t="s">
        <v>72</v>
      </c>
      <c r="D158">
        <v>33</v>
      </c>
      <c r="E158" t="s">
        <v>41</v>
      </c>
      <c r="F158" t="s">
        <v>192</v>
      </c>
      <c r="G158" t="s">
        <v>55</v>
      </c>
      <c r="H158" t="s">
        <v>28</v>
      </c>
      <c r="I158" t="s">
        <v>23</v>
      </c>
      <c r="J158">
        <v>309945</v>
      </c>
      <c r="K158">
        <v>17</v>
      </c>
      <c r="L158" s="3">
        <v>42180</v>
      </c>
      <c r="M158">
        <v>3.96</v>
      </c>
      <c r="N158" t="s">
        <v>228</v>
      </c>
      <c r="O158">
        <v>8848914285</v>
      </c>
      <c r="P158" s="3" t="s">
        <v>90</v>
      </c>
      <c r="Q158">
        <v>2015</v>
      </c>
    </row>
    <row r="159" spans="1:17" x14ac:dyDescent="0.3">
      <c r="A159">
        <v>1206</v>
      </c>
      <c r="B159" t="s">
        <v>103</v>
      </c>
      <c r="C159" t="s">
        <v>49</v>
      </c>
      <c r="D159">
        <v>56</v>
      </c>
      <c r="E159" t="s">
        <v>41</v>
      </c>
      <c r="F159" t="s">
        <v>192</v>
      </c>
      <c r="G159" t="s">
        <v>21</v>
      </c>
      <c r="H159" t="s">
        <v>69</v>
      </c>
      <c r="I159" t="s">
        <v>36</v>
      </c>
      <c r="J159">
        <v>337785</v>
      </c>
      <c r="K159">
        <v>12</v>
      </c>
      <c r="L159" s="3">
        <v>42216</v>
      </c>
      <c r="M159">
        <v>3.81</v>
      </c>
      <c r="N159" t="s">
        <v>229</v>
      </c>
      <c r="O159">
        <v>8787695639</v>
      </c>
      <c r="P159" s="3" t="s">
        <v>38</v>
      </c>
      <c r="Q159">
        <v>2015</v>
      </c>
    </row>
    <row r="160" spans="1:17" x14ac:dyDescent="0.3">
      <c r="A160">
        <v>774</v>
      </c>
      <c r="B160" t="s">
        <v>44</v>
      </c>
      <c r="C160" t="s">
        <v>81</v>
      </c>
      <c r="D160">
        <v>38</v>
      </c>
      <c r="E160" t="s">
        <v>19</v>
      </c>
      <c r="F160" t="s">
        <v>230</v>
      </c>
      <c r="G160" t="s">
        <v>55</v>
      </c>
      <c r="H160" t="s">
        <v>22</v>
      </c>
      <c r="I160" t="s">
        <v>29</v>
      </c>
      <c r="J160">
        <v>437722</v>
      </c>
      <c r="K160">
        <v>13</v>
      </c>
      <c r="L160" s="3">
        <v>45309</v>
      </c>
      <c r="M160">
        <v>1.54</v>
      </c>
      <c r="N160" t="s">
        <v>231</v>
      </c>
      <c r="O160">
        <v>9852989933</v>
      </c>
      <c r="P160" s="3" t="s">
        <v>83</v>
      </c>
      <c r="Q160">
        <v>2024</v>
      </c>
    </row>
    <row r="161" spans="1:17" x14ac:dyDescent="0.3">
      <c r="A161">
        <v>1946</v>
      </c>
      <c r="B161" t="s">
        <v>53</v>
      </c>
      <c r="C161" t="s">
        <v>65</v>
      </c>
      <c r="D161">
        <v>31</v>
      </c>
      <c r="E161" t="s">
        <v>41</v>
      </c>
      <c r="F161" t="s">
        <v>230</v>
      </c>
      <c r="G161" t="s">
        <v>76</v>
      </c>
      <c r="H161" t="s">
        <v>69</v>
      </c>
      <c r="I161" t="s">
        <v>23</v>
      </c>
      <c r="J161">
        <v>398249</v>
      </c>
      <c r="K161">
        <v>20</v>
      </c>
      <c r="L161" s="3">
        <v>45390</v>
      </c>
      <c r="M161">
        <v>2.34</v>
      </c>
      <c r="N161" t="s">
        <v>232</v>
      </c>
      <c r="O161">
        <v>9036482302</v>
      </c>
      <c r="P161" s="3" t="s">
        <v>31</v>
      </c>
      <c r="Q161">
        <v>2024</v>
      </c>
    </row>
    <row r="162" spans="1:17" x14ac:dyDescent="0.3">
      <c r="A162">
        <v>184</v>
      </c>
      <c r="B162" t="s">
        <v>32</v>
      </c>
      <c r="C162" t="s">
        <v>33</v>
      </c>
      <c r="D162">
        <v>40</v>
      </c>
      <c r="E162" t="s">
        <v>41</v>
      </c>
      <c r="F162" t="s">
        <v>230</v>
      </c>
      <c r="G162" t="s">
        <v>34</v>
      </c>
      <c r="H162" t="s">
        <v>22</v>
      </c>
      <c r="I162" t="s">
        <v>50</v>
      </c>
      <c r="J162">
        <v>469051</v>
      </c>
      <c r="K162">
        <v>4</v>
      </c>
      <c r="L162" s="3">
        <v>45593</v>
      </c>
      <c r="M162">
        <v>1.62</v>
      </c>
      <c r="N162" t="s">
        <v>233</v>
      </c>
      <c r="O162">
        <v>8662777314</v>
      </c>
      <c r="P162" s="3" t="s">
        <v>75</v>
      </c>
      <c r="Q162">
        <v>2024</v>
      </c>
    </row>
    <row r="163" spans="1:17" x14ac:dyDescent="0.3">
      <c r="A163">
        <v>714</v>
      </c>
      <c r="B163" t="s">
        <v>68</v>
      </c>
      <c r="C163" t="s">
        <v>49</v>
      </c>
      <c r="D163">
        <v>41</v>
      </c>
      <c r="E163" t="s">
        <v>41</v>
      </c>
      <c r="F163" t="s">
        <v>230</v>
      </c>
      <c r="G163" t="s">
        <v>42</v>
      </c>
      <c r="H163" t="s">
        <v>69</v>
      </c>
      <c r="I163" t="s">
        <v>62</v>
      </c>
      <c r="J163">
        <v>425216</v>
      </c>
      <c r="K163">
        <v>1</v>
      </c>
      <c r="L163" s="3">
        <v>45647</v>
      </c>
      <c r="M163">
        <v>4.25</v>
      </c>
      <c r="N163" t="s">
        <v>234</v>
      </c>
      <c r="O163">
        <v>8975543903</v>
      </c>
      <c r="P163" s="3" t="s">
        <v>100</v>
      </c>
      <c r="Q163">
        <v>2024</v>
      </c>
    </row>
    <row r="164" spans="1:17" x14ac:dyDescent="0.3">
      <c r="A164">
        <v>889</v>
      </c>
      <c r="B164" t="s">
        <v>85</v>
      </c>
      <c r="C164" t="s">
        <v>40</v>
      </c>
      <c r="D164">
        <v>55</v>
      </c>
      <c r="E164" t="s">
        <v>19</v>
      </c>
      <c r="F164" t="s">
        <v>230</v>
      </c>
      <c r="G164" t="s">
        <v>42</v>
      </c>
      <c r="H164" t="s">
        <v>28</v>
      </c>
      <c r="I164" t="s">
        <v>36</v>
      </c>
      <c r="J164">
        <v>401908</v>
      </c>
      <c r="K164">
        <v>5</v>
      </c>
      <c r="L164" s="3">
        <v>44989</v>
      </c>
      <c r="M164">
        <v>3.33</v>
      </c>
      <c r="N164" t="s">
        <v>235</v>
      </c>
      <c r="O164">
        <v>7308067436</v>
      </c>
      <c r="P164" s="3" t="s">
        <v>25</v>
      </c>
      <c r="Q164">
        <v>2023</v>
      </c>
    </row>
    <row r="165" spans="1:17" x14ac:dyDescent="0.3">
      <c r="A165">
        <v>289</v>
      </c>
      <c r="B165" t="s">
        <v>44</v>
      </c>
      <c r="C165" t="s">
        <v>40</v>
      </c>
      <c r="D165">
        <v>27</v>
      </c>
      <c r="E165" t="s">
        <v>41</v>
      </c>
      <c r="F165" t="s">
        <v>230</v>
      </c>
      <c r="G165" t="s">
        <v>27</v>
      </c>
      <c r="H165" t="s">
        <v>22</v>
      </c>
      <c r="I165" t="s">
        <v>23</v>
      </c>
      <c r="J165">
        <v>389725</v>
      </c>
      <c r="K165">
        <v>17</v>
      </c>
      <c r="L165" s="3">
        <v>45012</v>
      </c>
      <c r="M165">
        <v>1.22</v>
      </c>
      <c r="N165" t="s">
        <v>236</v>
      </c>
      <c r="O165">
        <v>8891297896</v>
      </c>
      <c r="P165" s="3" t="s">
        <v>25</v>
      </c>
      <c r="Q165">
        <v>2023</v>
      </c>
    </row>
    <row r="166" spans="1:17" x14ac:dyDescent="0.3">
      <c r="A166">
        <v>39</v>
      </c>
      <c r="B166" t="s">
        <v>48</v>
      </c>
      <c r="C166" t="s">
        <v>49</v>
      </c>
      <c r="D166">
        <v>33</v>
      </c>
      <c r="E166" t="s">
        <v>41</v>
      </c>
      <c r="F166" t="s">
        <v>230</v>
      </c>
      <c r="G166" t="s">
        <v>42</v>
      </c>
      <c r="H166" t="s">
        <v>22</v>
      </c>
      <c r="I166" t="s">
        <v>60</v>
      </c>
      <c r="J166">
        <v>401014</v>
      </c>
      <c r="K166">
        <v>14</v>
      </c>
      <c r="L166" s="3">
        <v>45033</v>
      </c>
      <c r="M166">
        <v>1.92</v>
      </c>
      <c r="N166" t="s">
        <v>237</v>
      </c>
      <c r="O166">
        <v>7517894596</v>
      </c>
      <c r="P166" s="3" t="s">
        <v>31</v>
      </c>
      <c r="Q166">
        <v>2023</v>
      </c>
    </row>
    <row r="167" spans="1:17" x14ac:dyDescent="0.3">
      <c r="A167">
        <v>765</v>
      </c>
      <c r="B167" t="s">
        <v>68</v>
      </c>
      <c r="C167" t="s">
        <v>81</v>
      </c>
      <c r="D167">
        <v>30</v>
      </c>
      <c r="E167" t="s">
        <v>19</v>
      </c>
      <c r="F167" t="s">
        <v>230</v>
      </c>
      <c r="G167" t="s">
        <v>21</v>
      </c>
      <c r="H167" t="s">
        <v>28</v>
      </c>
      <c r="I167" t="s">
        <v>23</v>
      </c>
      <c r="J167">
        <v>486780</v>
      </c>
      <c r="K167">
        <v>13</v>
      </c>
      <c r="L167" s="3">
        <v>45106</v>
      </c>
      <c r="M167">
        <v>1.83</v>
      </c>
      <c r="N167" t="s">
        <v>238</v>
      </c>
      <c r="O167">
        <v>7687067206</v>
      </c>
      <c r="P167" s="3" t="s">
        <v>90</v>
      </c>
      <c r="Q167">
        <v>2023</v>
      </c>
    </row>
    <row r="168" spans="1:17" x14ac:dyDescent="0.3">
      <c r="A168">
        <v>1170</v>
      </c>
      <c r="B168" t="s">
        <v>26</v>
      </c>
      <c r="C168" t="s">
        <v>40</v>
      </c>
      <c r="D168">
        <v>57</v>
      </c>
      <c r="E168" t="s">
        <v>19</v>
      </c>
      <c r="F168" t="s">
        <v>230</v>
      </c>
      <c r="G168" t="s">
        <v>21</v>
      </c>
      <c r="H168" t="s">
        <v>28</v>
      </c>
      <c r="I168" t="s">
        <v>23</v>
      </c>
      <c r="J168">
        <v>353045</v>
      </c>
      <c r="K168">
        <v>4</v>
      </c>
      <c r="L168" s="3">
        <v>44570</v>
      </c>
      <c r="M168">
        <v>3.93</v>
      </c>
      <c r="N168" t="s">
        <v>239</v>
      </c>
      <c r="O168">
        <v>7566355216</v>
      </c>
      <c r="P168" s="3" t="s">
        <v>83</v>
      </c>
      <c r="Q168">
        <v>2022</v>
      </c>
    </row>
    <row r="169" spans="1:17" x14ac:dyDescent="0.3">
      <c r="A169">
        <v>813</v>
      </c>
      <c r="B169" t="s">
        <v>44</v>
      </c>
      <c r="C169" t="s">
        <v>54</v>
      </c>
      <c r="D169">
        <v>38</v>
      </c>
      <c r="E169" t="s">
        <v>19</v>
      </c>
      <c r="F169" t="s">
        <v>230</v>
      </c>
      <c r="G169" t="s">
        <v>21</v>
      </c>
      <c r="H169" t="s">
        <v>28</v>
      </c>
      <c r="I169" t="s">
        <v>50</v>
      </c>
      <c r="J169">
        <v>414492</v>
      </c>
      <c r="K169">
        <v>9</v>
      </c>
      <c r="L169" s="3">
        <v>44576</v>
      </c>
      <c r="M169">
        <v>2.81</v>
      </c>
      <c r="N169" t="s">
        <v>240</v>
      </c>
      <c r="O169">
        <v>7571201348</v>
      </c>
      <c r="P169" s="3" t="s">
        <v>83</v>
      </c>
      <c r="Q169">
        <v>2022</v>
      </c>
    </row>
    <row r="170" spans="1:17" x14ac:dyDescent="0.3">
      <c r="A170">
        <v>140</v>
      </c>
      <c r="B170" t="s">
        <v>53</v>
      </c>
      <c r="C170" t="s">
        <v>92</v>
      </c>
      <c r="D170">
        <v>45</v>
      </c>
      <c r="E170" t="s">
        <v>41</v>
      </c>
      <c r="F170" t="s">
        <v>230</v>
      </c>
      <c r="G170" t="s">
        <v>42</v>
      </c>
      <c r="H170" t="s">
        <v>55</v>
      </c>
      <c r="I170" t="s">
        <v>50</v>
      </c>
      <c r="J170">
        <v>325593</v>
      </c>
      <c r="K170">
        <v>16</v>
      </c>
      <c r="L170" s="3">
        <v>44810</v>
      </c>
      <c r="M170">
        <v>3.42</v>
      </c>
      <c r="N170" t="s">
        <v>241</v>
      </c>
      <c r="O170">
        <v>7373232089</v>
      </c>
      <c r="P170" s="3" t="s">
        <v>52</v>
      </c>
      <c r="Q170">
        <v>2022</v>
      </c>
    </row>
    <row r="171" spans="1:17" x14ac:dyDescent="0.3">
      <c r="A171">
        <v>36</v>
      </c>
      <c r="B171" t="s">
        <v>17</v>
      </c>
      <c r="C171" t="s">
        <v>92</v>
      </c>
      <c r="D171">
        <v>31</v>
      </c>
      <c r="E171" t="s">
        <v>41</v>
      </c>
      <c r="F171" t="s">
        <v>230</v>
      </c>
      <c r="G171" t="s">
        <v>55</v>
      </c>
      <c r="H171" t="s">
        <v>35</v>
      </c>
      <c r="I171" t="s">
        <v>36</v>
      </c>
      <c r="J171">
        <v>490076</v>
      </c>
      <c r="K171">
        <v>14</v>
      </c>
      <c r="L171" s="3">
        <v>44209</v>
      </c>
      <c r="M171">
        <v>1.55</v>
      </c>
      <c r="N171" t="s">
        <v>242</v>
      </c>
      <c r="O171">
        <v>8730508076</v>
      </c>
      <c r="P171" s="3" t="s">
        <v>83</v>
      </c>
      <c r="Q171">
        <v>2021</v>
      </c>
    </row>
    <row r="172" spans="1:17" x14ac:dyDescent="0.3">
      <c r="A172">
        <v>771</v>
      </c>
      <c r="B172" t="s">
        <v>103</v>
      </c>
      <c r="C172" t="s">
        <v>33</v>
      </c>
      <c r="D172">
        <v>21</v>
      </c>
      <c r="E172" t="s">
        <v>19</v>
      </c>
      <c r="F172" t="s">
        <v>230</v>
      </c>
      <c r="G172" t="s">
        <v>21</v>
      </c>
      <c r="H172" t="s">
        <v>22</v>
      </c>
      <c r="I172" t="s">
        <v>36</v>
      </c>
      <c r="J172">
        <v>342237</v>
      </c>
      <c r="K172">
        <v>9</v>
      </c>
      <c r="L172" s="3">
        <v>44350</v>
      </c>
      <c r="M172">
        <v>2.62</v>
      </c>
      <c r="N172" t="s">
        <v>243</v>
      </c>
      <c r="O172">
        <v>8918204331</v>
      </c>
      <c r="P172" s="3" t="s">
        <v>90</v>
      </c>
      <c r="Q172">
        <v>2021</v>
      </c>
    </row>
    <row r="173" spans="1:17" x14ac:dyDescent="0.3">
      <c r="A173">
        <v>1307</v>
      </c>
      <c r="B173" t="s">
        <v>17</v>
      </c>
      <c r="C173" t="s">
        <v>40</v>
      </c>
      <c r="D173">
        <v>33</v>
      </c>
      <c r="E173" t="s">
        <v>19</v>
      </c>
      <c r="F173" t="s">
        <v>230</v>
      </c>
      <c r="G173" t="s">
        <v>21</v>
      </c>
      <c r="H173" t="s">
        <v>35</v>
      </c>
      <c r="I173" t="s">
        <v>23</v>
      </c>
      <c r="J173">
        <v>486528</v>
      </c>
      <c r="K173">
        <v>20</v>
      </c>
      <c r="L173" s="3">
        <v>44453</v>
      </c>
      <c r="M173">
        <v>1.41</v>
      </c>
      <c r="N173" t="s">
        <v>244</v>
      </c>
      <c r="O173">
        <v>8963121142</v>
      </c>
      <c r="P173" s="3" t="s">
        <v>52</v>
      </c>
      <c r="Q173">
        <v>2021</v>
      </c>
    </row>
    <row r="174" spans="1:17" x14ac:dyDescent="0.3">
      <c r="A174">
        <v>845</v>
      </c>
      <c r="B174" t="s">
        <v>17</v>
      </c>
      <c r="C174" t="s">
        <v>92</v>
      </c>
      <c r="D174">
        <v>57</v>
      </c>
      <c r="E174" t="s">
        <v>19</v>
      </c>
      <c r="F174" t="s">
        <v>230</v>
      </c>
      <c r="G174" t="s">
        <v>55</v>
      </c>
      <c r="H174" t="s">
        <v>22</v>
      </c>
      <c r="I174" t="s">
        <v>29</v>
      </c>
      <c r="J174">
        <v>385611</v>
      </c>
      <c r="K174">
        <v>5</v>
      </c>
      <c r="L174" s="3">
        <v>44495</v>
      </c>
      <c r="M174">
        <v>3.95</v>
      </c>
      <c r="N174" t="s">
        <v>245</v>
      </c>
      <c r="O174">
        <v>7378270469</v>
      </c>
      <c r="P174" s="3" t="s">
        <v>75</v>
      </c>
      <c r="Q174">
        <v>2021</v>
      </c>
    </row>
    <row r="175" spans="1:17" x14ac:dyDescent="0.3">
      <c r="A175">
        <v>790</v>
      </c>
      <c r="B175" t="s">
        <v>39</v>
      </c>
      <c r="C175" t="s">
        <v>45</v>
      </c>
      <c r="D175">
        <v>40</v>
      </c>
      <c r="E175" t="s">
        <v>19</v>
      </c>
      <c r="F175" t="s">
        <v>230</v>
      </c>
      <c r="G175" t="s">
        <v>21</v>
      </c>
      <c r="H175" t="s">
        <v>55</v>
      </c>
      <c r="I175" t="s">
        <v>50</v>
      </c>
      <c r="J175">
        <v>344107</v>
      </c>
      <c r="K175">
        <v>6</v>
      </c>
      <c r="L175" s="3">
        <v>43844</v>
      </c>
      <c r="M175">
        <v>1.77</v>
      </c>
      <c r="N175" t="s">
        <v>246</v>
      </c>
      <c r="O175">
        <v>8134122919</v>
      </c>
      <c r="P175" s="3" t="s">
        <v>83</v>
      </c>
      <c r="Q175">
        <v>2020</v>
      </c>
    </row>
    <row r="176" spans="1:17" x14ac:dyDescent="0.3">
      <c r="A176">
        <v>92</v>
      </c>
      <c r="B176" t="s">
        <v>39</v>
      </c>
      <c r="C176" t="s">
        <v>49</v>
      </c>
      <c r="D176">
        <v>39</v>
      </c>
      <c r="E176" t="s">
        <v>19</v>
      </c>
      <c r="F176" t="s">
        <v>230</v>
      </c>
      <c r="G176" t="s">
        <v>27</v>
      </c>
      <c r="H176" t="s">
        <v>69</v>
      </c>
      <c r="I176" t="s">
        <v>50</v>
      </c>
      <c r="J176">
        <v>328801</v>
      </c>
      <c r="K176">
        <v>0</v>
      </c>
      <c r="L176" s="3">
        <v>43912</v>
      </c>
      <c r="M176">
        <v>3.06</v>
      </c>
      <c r="N176" t="s">
        <v>247</v>
      </c>
      <c r="O176">
        <v>7183577810</v>
      </c>
      <c r="P176" s="3" t="s">
        <v>25</v>
      </c>
      <c r="Q176">
        <v>2020</v>
      </c>
    </row>
    <row r="177" spans="1:17" x14ac:dyDescent="0.3">
      <c r="A177">
        <v>731</v>
      </c>
      <c r="B177" t="s">
        <v>68</v>
      </c>
      <c r="C177" t="s">
        <v>49</v>
      </c>
      <c r="D177">
        <v>60</v>
      </c>
      <c r="E177" t="s">
        <v>41</v>
      </c>
      <c r="F177" t="s">
        <v>230</v>
      </c>
      <c r="G177" t="s">
        <v>42</v>
      </c>
      <c r="H177" t="s">
        <v>69</v>
      </c>
      <c r="I177" t="s">
        <v>29</v>
      </c>
      <c r="J177">
        <v>453898</v>
      </c>
      <c r="K177">
        <v>18</v>
      </c>
      <c r="L177" s="3">
        <v>44041</v>
      </c>
      <c r="M177">
        <v>3.98</v>
      </c>
      <c r="N177" t="s">
        <v>248</v>
      </c>
      <c r="O177">
        <v>9535156755</v>
      </c>
      <c r="P177" s="3" t="s">
        <v>38</v>
      </c>
      <c r="Q177">
        <v>2020</v>
      </c>
    </row>
    <row r="178" spans="1:17" x14ac:dyDescent="0.3">
      <c r="A178">
        <v>11</v>
      </c>
      <c r="B178" t="s">
        <v>48</v>
      </c>
      <c r="C178" t="s">
        <v>40</v>
      </c>
      <c r="D178">
        <v>39</v>
      </c>
      <c r="E178" t="s">
        <v>19</v>
      </c>
      <c r="F178" t="s">
        <v>230</v>
      </c>
      <c r="G178" t="s">
        <v>21</v>
      </c>
      <c r="H178" t="s">
        <v>35</v>
      </c>
      <c r="I178" t="s">
        <v>36</v>
      </c>
      <c r="J178">
        <v>374700</v>
      </c>
      <c r="K178">
        <v>6</v>
      </c>
      <c r="L178" s="3">
        <v>44163</v>
      </c>
      <c r="M178">
        <v>4.33</v>
      </c>
      <c r="N178" t="s">
        <v>249</v>
      </c>
      <c r="O178">
        <v>7414327795</v>
      </c>
      <c r="P178" s="3" t="s">
        <v>57</v>
      </c>
      <c r="Q178">
        <v>2020</v>
      </c>
    </row>
    <row r="179" spans="1:17" x14ac:dyDescent="0.3">
      <c r="A179">
        <v>126</v>
      </c>
      <c r="B179" t="s">
        <v>26</v>
      </c>
      <c r="C179" t="s">
        <v>81</v>
      </c>
      <c r="D179">
        <v>25</v>
      </c>
      <c r="E179" t="s">
        <v>41</v>
      </c>
      <c r="F179" t="s">
        <v>230</v>
      </c>
      <c r="G179" t="s">
        <v>27</v>
      </c>
      <c r="H179" t="s">
        <v>28</v>
      </c>
      <c r="I179" t="s">
        <v>23</v>
      </c>
      <c r="J179">
        <v>398925</v>
      </c>
      <c r="K179">
        <v>9</v>
      </c>
      <c r="L179" s="3">
        <v>43539</v>
      </c>
      <c r="M179">
        <v>4.4000000000000004</v>
      </c>
      <c r="N179" t="s">
        <v>250</v>
      </c>
      <c r="O179">
        <v>8777350833</v>
      </c>
      <c r="P179" s="3" t="s">
        <v>25</v>
      </c>
      <c r="Q179">
        <v>2019</v>
      </c>
    </row>
    <row r="180" spans="1:17" x14ac:dyDescent="0.3">
      <c r="A180">
        <v>1169</v>
      </c>
      <c r="B180" t="s">
        <v>39</v>
      </c>
      <c r="C180" t="s">
        <v>81</v>
      </c>
      <c r="D180">
        <v>26</v>
      </c>
      <c r="E180" t="s">
        <v>41</v>
      </c>
      <c r="F180" t="s">
        <v>230</v>
      </c>
      <c r="G180" t="s">
        <v>55</v>
      </c>
      <c r="H180" t="s">
        <v>22</v>
      </c>
      <c r="I180" t="s">
        <v>29</v>
      </c>
      <c r="J180">
        <v>330330</v>
      </c>
      <c r="K180">
        <v>9</v>
      </c>
      <c r="L180" s="3">
        <v>43725</v>
      </c>
      <c r="M180">
        <v>4.83</v>
      </c>
      <c r="N180" t="s">
        <v>251</v>
      </c>
      <c r="O180">
        <v>9518200297</v>
      </c>
      <c r="P180" s="3" t="s">
        <v>52</v>
      </c>
      <c r="Q180">
        <v>2019</v>
      </c>
    </row>
    <row r="181" spans="1:17" x14ac:dyDescent="0.3">
      <c r="A181">
        <v>262</v>
      </c>
      <c r="B181" t="s">
        <v>53</v>
      </c>
      <c r="C181" t="s">
        <v>54</v>
      </c>
      <c r="D181">
        <v>50</v>
      </c>
      <c r="E181" t="s">
        <v>19</v>
      </c>
      <c r="F181" t="s">
        <v>230</v>
      </c>
      <c r="G181" t="s">
        <v>21</v>
      </c>
      <c r="H181" t="s">
        <v>28</v>
      </c>
      <c r="I181" t="s">
        <v>62</v>
      </c>
      <c r="J181">
        <v>401985</v>
      </c>
      <c r="K181">
        <v>15</v>
      </c>
      <c r="L181" s="3">
        <v>43750</v>
      </c>
      <c r="M181">
        <v>2.14</v>
      </c>
      <c r="N181" t="s">
        <v>252</v>
      </c>
      <c r="O181">
        <v>9942151468</v>
      </c>
      <c r="P181" s="3" t="s">
        <v>75</v>
      </c>
      <c r="Q181">
        <v>2019</v>
      </c>
    </row>
    <row r="182" spans="1:17" x14ac:dyDescent="0.3">
      <c r="A182">
        <v>158</v>
      </c>
      <c r="B182" t="s">
        <v>48</v>
      </c>
      <c r="C182" t="s">
        <v>40</v>
      </c>
      <c r="D182">
        <v>51</v>
      </c>
      <c r="E182" t="s">
        <v>41</v>
      </c>
      <c r="F182" t="s">
        <v>230</v>
      </c>
      <c r="G182" t="s">
        <v>34</v>
      </c>
      <c r="H182" t="s">
        <v>78</v>
      </c>
      <c r="I182" t="s">
        <v>36</v>
      </c>
      <c r="J182">
        <v>400162</v>
      </c>
      <c r="K182">
        <v>9</v>
      </c>
      <c r="L182" s="3">
        <v>42909</v>
      </c>
      <c r="M182">
        <v>4.66</v>
      </c>
      <c r="N182" t="s">
        <v>253</v>
      </c>
      <c r="O182">
        <v>9270445572</v>
      </c>
      <c r="P182" s="3" t="s">
        <v>90</v>
      </c>
      <c r="Q182">
        <v>2017</v>
      </c>
    </row>
    <row r="183" spans="1:17" x14ac:dyDescent="0.3">
      <c r="A183">
        <v>267</v>
      </c>
      <c r="B183" t="s">
        <v>53</v>
      </c>
      <c r="C183" t="s">
        <v>18</v>
      </c>
      <c r="D183">
        <v>45</v>
      </c>
      <c r="E183" t="s">
        <v>19</v>
      </c>
      <c r="F183" t="s">
        <v>230</v>
      </c>
      <c r="G183" t="s">
        <v>55</v>
      </c>
      <c r="H183" t="s">
        <v>28</v>
      </c>
      <c r="I183" t="s">
        <v>23</v>
      </c>
      <c r="J183">
        <v>477418</v>
      </c>
      <c r="K183">
        <v>5</v>
      </c>
      <c r="L183" s="3">
        <v>42940</v>
      </c>
      <c r="M183">
        <v>3.98</v>
      </c>
      <c r="N183" t="s">
        <v>254</v>
      </c>
      <c r="O183">
        <v>9686740492</v>
      </c>
      <c r="P183" s="3" t="s">
        <v>38</v>
      </c>
      <c r="Q183">
        <v>2017</v>
      </c>
    </row>
    <row r="184" spans="1:17" x14ac:dyDescent="0.3">
      <c r="A184">
        <v>963</v>
      </c>
      <c r="B184" t="s">
        <v>48</v>
      </c>
      <c r="C184" t="s">
        <v>92</v>
      </c>
      <c r="D184">
        <v>43</v>
      </c>
      <c r="E184" t="s">
        <v>19</v>
      </c>
      <c r="F184" t="s">
        <v>230</v>
      </c>
      <c r="G184" t="s">
        <v>34</v>
      </c>
      <c r="H184" t="s">
        <v>28</v>
      </c>
      <c r="I184" t="s">
        <v>50</v>
      </c>
      <c r="J184">
        <v>330232</v>
      </c>
      <c r="K184">
        <v>3</v>
      </c>
      <c r="L184" s="3">
        <v>43000</v>
      </c>
      <c r="M184">
        <v>1.03</v>
      </c>
      <c r="N184" t="s">
        <v>255</v>
      </c>
      <c r="O184">
        <v>9375267641</v>
      </c>
      <c r="P184" s="3" t="s">
        <v>52</v>
      </c>
      <c r="Q184">
        <v>2017</v>
      </c>
    </row>
    <row r="185" spans="1:17" x14ac:dyDescent="0.3">
      <c r="A185">
        <v>1039</v>
      </c>
      <c r="B185" t="s">
        <v>85</v>
      </c>
      <c r="C185" t="s">
        <v>81</v>
      </c>
      <c r="D185">
        <v>39</v>
      </c>
      <c r="E185" t="s">
        <v>41</v>
      </c>
      <c r="F185" t="s">
        <v>230</v>
      </c>
      <c r="G185" t="s">
        <v>55</v>
      </c>
      <c r="H185" t="s">
        <v>78</v>
      </c>
      <c r="I185" t="s">
        <v>23</v>
      </c>
      <c r="J185">
        <v>483969</v>
      </c>
      <c r="K185">
        <v>9</v>
      </c>
      <c r="L185" s="3">
        <v>42374</v>
      </c>
      <c r="M185">
        <v>2.71</v>
      </c>
      <c r="N185" t="s">
        <v>256</v>
      </c>
      <c r="O185">
        <v>7328536833</v>
      </c>
      <c r="P185" s="3" t="s">
        <v>83</v>
      </c>
      <c r="Q185">
        <v>2016</v>
      </c>
    </row>
    <row r="186" spans="1:17" x14ac:dyDescent="0.3">
      <c r="A186">
        <v>383</v>
      </c>
      <c r="B186" t="s">
        <v>26</v>
      </c>
      <c r="C186" t="s">
        <v>92</v>
      </c>
      <c r="D186">
        <v>22</v>
      </c>
      <c r="E186" t="s">
        <v>41</v>
      </c>
      <c r="F186" t="s">
        <v>230</v>
      </c>
      <c r="G186" t="s">
        <v>55</v>
      </c>
      <c r="H186" t="s">
        <v>78</v>
      </c>
      <c r="I186" t="s">
        <v>62</v>
      </c>
      <c r="J186">
        <v>385905</v>
      </c>
      <c r="K186">
        <v>7</v>
      </c>
      <c r="L186" s="3">
        <v>42418</v>
      </c>
      <c r="M186">
        <v>1.66</v>
      </c>
      <c r="N186" t="s">
        <v>257</v>
      </c>
      <c r="O186">
        <v>7795584481</v>
      </c>
      <c r="P186" s="3" t="s">
        <v>59</v>
      </c>
      <c r="Q186">
        <v>2016</v>
      </c>
    </row>
    <row r="187" spans="1:17" x14ac:dyDescent="0.3">
      <c r="A187">
        <v>1478</v>
      </c>
      <c r="B187" t="s">
        <v>48</v>
      </c>
      <c r="C187" t="s">
        <v>81</v>
      </c>
      <c r="D187">
        <v>41</v>
      </c>
      <c r="E187" t="s">
        <v>41</v>
      </c>
      <c r="F187" t="s">
        <v>230</v>
      </c>
      <c r="G187" t="s">
        <v>34</v>
      </c>
      <c r="H187" t="s">
        <v>22</v>
      </c>
      <c r="I187" t="s">
        <v>60</v>
      </c>
      <c r="J187">
        <v>333735</v>
      </c>
      <c r="K187">
        <v>0</v>
      </c>
      <c r="L187" s="3">
        <v>42516</v>
      </c>
      <c r="M187">
        <v>2.4300000000000002</v>
      </c>
      <c r="N187" t="s">
        <v>258</v>
      </c>
      <c r="O187">
        <v>7600163320</v>
      </c>
      <c r="P187" s="3" t="s">
        <v>67</v>
      </c>
      <c r="Q187">
        <v>2016</v>
      </c>
    </row>
    <row r="188" spans="1:17" x14ac:dyDescent="0.3">
      <c r="A188">
        <v>1452</v>
      </c>
      <c r="B188" t="s">
        <v>103</v>
      </c>
      <c r="C188" t="s">
        <v>49</v>
      </c>
      <c r="D188">
        <v>55</v>
      </c>
      <c r="E188" t="s">
        <v>19</v>
      </c>
      <c r="F188" t="s">
        <v>230</v>
      </c>
      <c r="G188" t="s">
        <v>55</v>
      </c>
      <c r="H188" t="s">
        <v>22</v>
      </c>
      <c r="I188" t="s">
        <v>36</v>
      </c>
      <c r="J188">
        <v>480550</v>
      </c>
      <c r="K188">
        <v>14</v>
      </c>
      <c r="L188" s="3">
        <v>42520</v>
      </c>
      <c r="M188">
        <v>3.38</v>
      </c>
      <c r="N188" t="s">
        <v>259</v>
      </c>
      <c r="O188">
        <v>9313624503</v>
      </c>
      <c r="P188" s="3" t="s">
        <v>67</v>
      </c>
      <c r="Q188">
        <v>2016</v>
      </c>
    </row>
    <row r="189" spans="1:17" x14ac:dyDescent="0.3">
      <c r="A189">
        <v>1821</v>
      </c>
      <c r="B189" t="s">
        <v>48</v>
      </c>
      <c r="C189" t="s">
        <v>54</v>
      </c>
      <c r="D189">
        <v>31</v>
      </c>
      <c r="E189" t="s">
        <v>41</v>
      </c>
      <c r="F189" t="s">
        <v>230</v>
      </c>
      <c r="G189" t="s">
        <v>34</v>
      </c>
      <c r="H189" t="s">
        <v>55</v>
      </c>
      <c r="I189" t="s">
        <v>23</v>
      </c>
      <c r="J189">
        <v>356966</v>
      </c>
      <c r="K189">
        <v>19</v>
      </c>
      <c r="L189" s="3">
        <v>42628</v>
      </c>
      <c r="M189">
        <v>2.19</v>
      </c>
      <c r="N189" t="s">
        <v>260</v>
      </c>
      <c r="O189">
        <v>8464051181</v>
      </c>
      <c r="P189" s="3" t="s">
        <v>52</v>
      </c>
      <c r="Q189">
        <v>2016</v>
      </c>
    </row>
    <row r="190" spans="1:17" x14ac:dyDescent="0.3">
      <c r="A190">
        <v>273</v>
      </c>
      <c r="B190" t="s">
        <v>44</v>
      </c>
      <c r="C190" t="s">
        <v>65</v>
      </c>
      <c r="D190">
        <v>57</v>
      </c>
      <c r="E190" t="s">
        <v>41</v>
      </c>
      <c r="F190" t="s">
        <v>230</v>
      </c>
      <c r="G190" t="s">
        <v>42</v>
      </c>
      <c r="H190" t="s">
        <v>69</v>
      </c>
      <c r="I190" t="s">
        <v>36</v>
      </c>
      <c r="J190">
        <v>387648</v>
      </c>
      <c r="K190">
        <v>12</v>
      </c>
      <c r="L190" s="3">
        <v>42005</v>
      </c>
      <c r="M190">
        <v>1.72</v>
      </c>
      <c r="N190" t="s">
        <v>261</v>
      </c>
      <c r="O190">
        <v>9549270849</v>
      </c>
      <c r="P190" s="3" t="s">
        <v>83</v>
      </c>
      <c r="Q190">
        <v>2015</v>
      </c>
    </row>
    <row r="191" spans="1:17" x14ac:dyDescent="0.3">
      <c r="A191">
        <v>874</v>
      </c>
      <c r="B191" t="s">
        <v>68</v>
      </c>
      <c r="C191" t="s">
        <v>18</v>
      </c>
      <c r="D191">
        <v>47</v>
      </c>
      <c r="E191" t="s">
        <v>41</v>
      </c>
      <c r="F191" t="s">
        <v>230</v>
      </c>
      <c r="G191" t="s">
        <v>34</v>
      </c>
      <c r="H191" t="s">
        <v>69</v>
      </c>
      <c r="I191" t="s">
        <v>50</v>
      </c>
      <c r="J191">
        <v>465271</v>
      </c>
      <c r="K191">
        <v>11</v>
      </c>
      <c r="L191" s="3">
        <v>42005</v>
      </c>
      <c r="M191">
        <v>1.88</v>
      </c>
      <c r="N191" t="s">
        <v>262</v>
      </c>
      <c r="O191">
        <v>8957587184</v>
      </c>
      <c r="P191" s="3" t="s">
        <v>83</v>
      </c>
      <c r="Q191">
        <v>2015</v>
      </c>
    </row>
    <row r="192" spans="1:17" x14ac:dyDescent="0.3">
      <c r="A192">
        <v>1589</v>
      </c>
      <c r="B192" t="s">
        <v>53</v>
      </c>
      <c r="C192" t="s">
        <v>81</v>
      </c>
      <c r="D192">
        <v>42</v>
      </c>
      <c r="E192" t="s">
        <v>19</v>
      </c>
      <c r="F192" t="s">
        <v>230</v>
      </c>
      <c r="G192" t="s">
        <v>42</v>
      </c>
      <c r="H192" t="s">
        <v>35</v>
      </c>
      <c r="I192" t="s">
        <v>29</v>
      </c>
      <c r="J192">
        <v>381195</v>
      </c>
      <c r="K192">
        <v>4</v>
      </c>
      <c r="L192" s="3">
        <v>42147</v>
      </c>
      <c r="M192">
        <v>2.36</v>
      </c>
      <c r="N192" t="s">
        <v>263</v>
      </c>
      <c r="O192">
        <v>9482399908</v>
      </c>
      <c r="P192" s="3" t="s">
        <v>67</v>
      </c>
      <c r="Q192">
        <v>2015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Pawar</dc:creator>
  <cp:lastModifiedBy>Rushikesh Pawar</cp:lastModifiedBy>
  <dcterms:created xsi:type="dcterms:W3CDTF">2015-06-05T18:17:20Z</dcterms:created>
  <dcterms:modified xsi:type="dcterms:W3CDTF">2026-08-08T09:08:33Z</dcterms:modified>
</cp:coreProperties>
</file>